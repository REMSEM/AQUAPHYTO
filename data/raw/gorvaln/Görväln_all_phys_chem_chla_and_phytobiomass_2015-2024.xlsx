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brockmannconsult.sharepoint.com/sites/AQUATIME/Shared Documents/WP2 Representative Dataset/Case_Study_3/Mälaren - Görväln/Field data/"/>
    </mc:Choice>
  </mc:AlternateContent>
  <xr:revisionPtr revIDLastSave="0" documentId="8_{7D3EC384-E836-4FFD-8BEC-8C9D5639BB6E}" xr6:coauthVersionLast="47" xr6:coauthVersionMax="47" xr10:uidLastSave="{00000000-0000-0000-0000-000000000000}"/>
  <bookViews>
    <workbookView xWindow="28680" yWindow="-120" windowWidth="29040" windowHeight="15720" firstSheet="1" activeTab="1" xr2:uid="{BCDB2EA2-1196-41B8-A93C-54CA8B1E2C0D}"/>
  </bookViews>
  <sheets>
    <sheet name="Phy Chem Chla" sheetId="2" r:id="rId1"/>
    <sheet name="Phytoplankton" sheetId="3" r:id="rId2"/>
  </sheets>
  <definedNames>
    <definedName name="_xlnm._FilterDatabase" localSheetId="0" hidden="1">'Phy Chem Chla'!$A$2:$AE$66</definedName>
    <definedName name="_xlnm._FilterDatabase" localSheetId="1" hidden="1">Phytoplankton!$A$1:$AF$1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8" i="2" l="1"/>
  <c r="O57" i="3"/>
  <c r="P57" i="3"/>
  <c r="Q57" i="3"/>
  <c r="R57" i="3"/>
  <c r="S57" i="3"/>
  <c r="T57" i="3"/>
  <c r="U57" i="3"/>
  <c r="V57" i="3"/>
  <c r="W57" i="3"/>
  <c r="X57" i="3"/>
  <c r="Y57" i="3"/>
  <c r="Z57" i="3"/>
  <c r="N57" i="3"/>
  <c r="O56" i="3"/>
  <c r="P56" i="3"/>
  <c r="Q56" i="3"/>
  <c r="R56" i="3"/>
  <c r="S56" i="3"/>
  <c r="T56" i="3"/>
  <c r="U56" i="3"/>
  <c r="V56" i="3"/>
  <c r="W56" i="3"/>
  <c r="X56" i="3"/>
  <c r="Y56" i="3"/>
  <c r="Z56" i="3"/>
  <c r="N56" i="3"/>
  <c r="X69" i="2"/>
  <c r="Y69" i="2"/>
  <c r="Z69" i="2"/>
  <c r="AB69" i="2"/>
  <c r="AC69" i="2"/>
  <c r="AD69" i="2"/>
  <c r="W69" i="2"/>
  <c r="Y68" i="2"/>
  <c r="Z68" i="2"/>
  <c r="AB68" i="2"/>
  <c r="AC68" i="2"/>
  <c r="AD68" i="2"/>
  <c r="W68" i="2"/>
  <c r="M54" i="3"/>
  <c r="M53" i="3"/>
  <c r="AA61" i="2"/>
  <c r="AA62" i="2"/>
  <c r="AA63" i="2"/>
  <c r="AA64" i="2"/>
  <c r="AA65" i="2"/>
  <c r="AA66" i="2"/>
  <c r="AA60" i="2"/>
  <c r="AA3" i="2"/>
  <c r="AA4" i="2"/>
  <c r="AA5" i="2"/>
  <c r="AA6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9" i="2" l="1"/>
  <c r="AA68" i="2"/>
</calcChain>
</file>

<file path=xl/sharedStrings.xml><?xml version="1.0" encoding="utf-8"?>
<sst xmlns="http://schemas.openxmlformats.org/spreadsheetml/2006/main" count="846" uniqueCount="131">
  <si>
    <t>Provplats</t>
  </si>
  <si>
    <t>National site-ID</t>
  </si>
  <si>
    <t>Provplatskoordinat N/X</t>
  </si>
  <si>
    <t>Provplatskoordinat E/Y</t>
  </si>
  <si>
    <t>Koordinatsystem</t>
  </si>
  <si>
    <t>Type of monitoring</t>
  </si>
  <si>
    <t>Date</t>
  </si>
  <si>
    <t>Year</t>
  </si>
  <si>
    <t>Month</t>
  </si>
  <si>
    <t>Day</t>
  </si>
  <si>
    <t>Sampling depth</t>
  </si>
  <si>
    <t>Secchi depth (m)</t>
  </si>
  <si>
    <r>
      <t>Water temperature (</t>
    </r>
    <r>
      <rPr>
        <b/>
        <sz val="11"/>
        <rFont val="Aptos Narrow"/>
        <family val="2"/>
      </rPr>
      <t>°</t>
    </r>
    <r>
      <rPr>
        <b/>
        <sz val="11"/>
        <rFont val="Calibri"/>
        <family val="2"/>
      </rPr>
      <t>C)</t>
    </r>
  </si>
  <si>
    <t>Oxygen (mg/l O2)</t>
  </si>
  <si>
    <t>pH</t>
  </si>
  <si>
    <t>Alkalinity (meq/l)</t>
  </si>
  <si>
    <t>Conductivity at 25C (mS/m)</t>
  </si>
  <si>
    <t>NH4-N (µg/l N)</t>
  </si>
  <si>
    <t>NO2+NO3-N (µg/l N)</t>
  </si>
  <si>
    <t>Tot-N (µg/l N)</t>
  </si>
  <si>
    <t>PO4-P (µg/l P)</t>
  </si>
  <si>
    <t>Tot-P (µg/l P)</t>
  </si>
  <si>
    <t>Abs_F 436 (/m)</t>
  </si>
  <si>
    <t>Abs_F 254 (/5cm)</t>
  </si>
  <si>
    <t>Abs_F 365 (/5cm)</t>
  </si>
  <si>
    <t>Abs_F 420 (/5cm)</t>
  </si>
  <si>
    <t>aCDOM(440)</t>
  </si>
  <si>
    <t>Turb_FNU (FNU)</t>
  </si>
  <si>
    <t>TOC (mg/l C)</t>
  </si>
  <si>
    <t>Chl-a (µg/l) at 0,5 m</t>
  </si>
  <si>
    <t>Comment</t>
  </si>
  <si>
    <t>Mälaren, Görväln S</t>
  </si>
  <si>
    <t>SWEREF 99 TM</t>
  </si>
  <si>
    <t>NMÖ</t>
  </si>
  <si>
    <t>2015-03-05</t>
  </si>
  <si>
    <t/>
  </si>
  <si>
    <t>2015-04-08</t>
  </si>
  <si>
    <t>2015-05-19</t>
  </si>
  <si>
    <t>2015-07-08</t>
  </si>
  <si>
    <t>2015-08-04</t>
  </si>
  <si>
    <t>2015-08-12</t>
  </si>
  <si>
    <t>2015-09-09</t>
  </si>
  <si>
    <t>2016-07-27</t>
  </si>
  <si>
    <t>&lt; 1,0</t>
  </si>
  <si>
    <t>2016-08-19</t>
  </si>
  <si>
    <t>2016-09-29</t>
  </si>
  <si>
    <t>2017-02-27</t>
  </si>
  <si>
    <t>2017-04-27</t>
  </si>
  <si>
    <t>2017-05-15</t>
  </si>
  <si>
    <t>&lt;3</t>
  </si>
  <si>
    <t>2017-07-18</t>
  </si>
  <si>
    <t>2017-08-15</t>
  </si>
  <si>
    <t>&lt;1</t>
  </si>
  <si>
    <t>2017-09-14</t>
  </si>
  <si>
    <t>2018-02-08</t>
  </si>
  <si>
    <t>2018-04-25</t>
  </si>
  <si>
    <t>2018-05-14</t>
  </si>
  <si>
    <t>2018-07-18</t>
  </si>
  <si>
    <t>2018-08-21</t>
  </si>
  <si>
    <t>2018-09-17</t>
  </si>
  <si>
    <t>2019-02-25</t>
  </si>
  <si>
    <t>2019-04-24</t>
  </si>
  <si>
    <t>2019-05-20</t>
  </si>
  <si>
    <t>2019-07-17</t>
  </si>
  <si>
    <t>2019-08-05</t>
  </si>
  <si>
    <t>Vid ankomst till Norrvatten kunde ansamlingar av alger observeras vid stranden.</t>
  </si>
  <si>
    <t>2019-09-25</t>
  </si>
  <si>
    <t>2020-02-24</t>
  </si>
  <si>
    <t>2020-04-22</t>
  </si>
  <si>
    <t>2020-05-25</t>
  </si>
  <si>
    <t>2020-07-22</t>
  </si>
  <si>
    <t>2020-08-18</t>
  </si>
  <si>
    <t>2020-09-15</t>
  </si>
  <si>
    <t>2021-02-17</t>
  </si>
  <si>
    <t>2021-04-21</t>
  </si>
  <si>
    <t>2021-05-18</t>
  </si>
  <si>
    <t>2021-07-21</t>
  </si>
  <si>
    <t>2021-08-16</t>
  </si>
  <si>
    <t>2021-09-08</t>
  </si>
  <si>
    <t>2022-02-15</t>
  </si>
  <si>
    <t>2022-04-27</t>
  </si>
  <si>
    <t>2022-05-12</t>
  </si>
  <si>
    <t>2022-07-20</t>
  </si>
  <si>
    <t>2022-08-23</t>
  </si>
  <si>
    <t>2022-09-14</t>
  </si>
  <si>
    <t>2023-02-07</t>
  </si>
  <si>
    <t>Ice, thickness 6 cm</t>
  </si>
  <si>
    <t>2023-04-25</t>
  </si>
  <si>
    <t>2023-05-08</t>
  </si>
  <si>
    <t>2023-07-20</t>
  </si>
  <si>
    <t>2023-08-15</t>
  </si>
  <si>
    <t>2023-09-13</t>
  </si>
  <si>
    <t>2024-02-20</t>
  </si>
  <si>
    <t>2024-04-25</t>
  </si>
  <si>
    <t>2024-05-15</t>
  </si>
  <si>
    <t>2024-07-25</t>
  </si>
  <si>
    <t>2024-08-20</t>
  </si>
  <si>
    <t>2024-09-12</t>
  </si>
  <si>
    <t>2025-02-25</t>
  </si>
  <si>
    <t>2025-04-30</t>
  </si>
  <si>
    <t>2025-05-19</t>
  </si>
  <si>
    <t>2025-07-17</t>
  </si>
  <si>
    <t>2025-08-12</t>
  </si>
  <si>
    <t>2025-09-17</t>
  </si>
  <si>
    <t>Type of program</t>
  </si>
  <si>
    <t>Minimum sample depth (m)</t>
  </si>
  <si>
    <t>Maximum sampling depth (m)</t>
  </si>
  <si>
    <t>Total biomass (mm3/l)</t>
  </si>
  <si>
    <t>Chrysophyceae (mm3/l)</t>
  </si>
  <si>
    <t>Synurophyceae (mm3/l)</t>
  </si>
  <si>
    <t>Raphidophyceae (mm3/l)</t>
  </si>
  <si>
    <t>Choanoflagellidea (mm3/l)</t>
  </si>
  <si>
    <t>Dinophyceae (mm3/l)</t>
  </si>
  <si>
    <t>Euglenophyceae (mm3/l)</t>
  </si>
  <si>
    <t>Chlorophyta (mm3/l)</t>
  </si>
  <si>
    <t>Cyanobacteria (mm3/l)</t>
  </si>
  <si>
    <t>Haptophyta (mm3/l)</t>
  </si>
  <si>
    <t>Bacillariophyta (mm3/l)</t>
  </si>
  <si>
    <t>Cryptophyta (mm3/l)</t>
  </si>
  <si>
    <t>Charophyta (mm3/l)</t>
  </si>
  <si>
    <t>Other phytoplankton groups (mm3/l)</t>
  </si>
  <si>
    <t>Brown (mm3/l)</t>
  </si>
  <si>
    <t>Crypto-PE (mm3/l)</t>
  </si>
  <si>
    <t>Cyano (mm3/l)</t>
  </si>
  <si>
    <t>Golden-brown (mm3/l)</t>
  </si>
  <si>
    <t>Green (mm3/l)</t>
  </si>
  <si>
    <t>Heterotrophic colorless (mm3/l)</t>
  </si>
  <si>
    <t>2015-10-01</t>
  </si>
  <si>
    <t>2016-09-12</t>
  </si>
  <si>
    <t>2016-09-21</t>
  </si>
  <si>
    <t>2023-08-14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</si>
</sst>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</font>
    <font>
      <b/>
      <sz val="11"/>
      <color rgb="FF000000"/>
      <name val="Aptos"/>
      <family val="2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0" xfId="0" applyFont="1" applyFill="1" applyAlignment="1">
      <alignment wrapText="1"/>
    </xf>
    <xf numFmtId="0" fontId="2" fillId="2" borderId="0" xfId="1" applyFont="1" applyAlignment="1">
      <alignment wrapText="1"/>
    </xf>
    <xf numFmtId="164" fontId="2" fillId="2" borderId="0" xfId="1" applyNumberFormat="1" applyFont="1" applyAlignment="1">
      <alignment wrapText="1"/>
    </xf>
    <xf numFmtId="0" fontId="3" fillId="5" borderId="0" xfId="0" applyFont="1" applyFill="1" applyAlignment="1">
      <alignment wrapText="1"/>
    </xf>
    <xf numFmtId="0" fontId="2" fillId="4" borderId="0" xfId="0" applyFont="1" applyFill="1"/>
    <xf numFmtId="0" fontId="0" fillId="8" borderId="0" xfId="0" applyFill="1"/>
    <xf numFmtId="0" fontId="5" fillId="8" borderId="0" xfId="0" applyFont="1" applyFill="1"/>
    <xf numFmtId="0" fontId="6" fillId="0" borderId="0" xfId="0" applyFont="1"/>
    <xf numFmtId="0" fontId="3" fillId="4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6" fillId="4" borderId="0" xfId="0" applyFont="1" applyFill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Chla'!$X$31:$Z$31</c:f>
              <c:numCache>
                <c:formatCode>General</c:formatCode>
                <c:ptCount val="3"/>
                <c:pt idx="0">
                  <c:v>0.999</c:v>
                </c:pt>
                <c:pt idx="1">
                  <c:v>0.13</c:v>
                </c:pt>
                <c:pt idx="2">
                  <c:v>4.4999999999999998E-2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DB-4109-BD30-F7462C6DDDD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Chla'!$X$32:$Z$32</c:f>
              <c:numCache>
                <c:formatCode>General</c:formatCode>
                <c:ptCount val="3"/>
                <c:pt idx="0">
                  <c:v>1.046</c:v>
                </c:pt>
                <c:pt idx="1">
                  <c:v>0.14699999999999999</c:v>
                </c:pt>
                <c:pt idx="2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DB-4109-BD30-F7462C6DDDD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Chla'!$X$33:$Z$33</c:f>
              <c:numCache>
                <c:formatCode>General</c:formatCode>
                <c:ptCount val="3"/>
                <c:pt idx="0">
                  <c:v>0.999</c:v>
                </c:pt>
                <c:pt idx="1">
                  <c:v>0.125</c:v>
                </c:pt>
                <c:pt idx="2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DB-4109-BD30-F7462C6DDDD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Chla'!$X$34:$Z$34</c:f>
              <c:numCache>
                <c:formatCode>General</c:formatCode>
                <c:ptCount val="3"/>
                <c:pt idx="0">
                  <c:v>1.0009999999999999</c:v>
                </c:pt>
                <c:pt idx="1">
                  <c:v>0.11799999999999999</c:v>
                </c:pt>
                <c:pt idx="2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DB-4109-BD30-F7462C6DDDD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2.0301623748846163E-2"/>
                  <c:y val="-0.501324704474310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Chla'!$X$35:$Z$35</c:f>
              <c:numCache>
                <c:formatCode>General</c:formatCode>
                <c:ptCount val="3"/>
                <c:pt idx="0">
                  <c:v>0.93600000000000005</c:v>
                </c:pt>
                <c:pt idx="1">
                  <c:v>0.104</c:v>
                </c:pt>
                <c:pt idx="2">
                  <c:v>3.4000000000000002E-2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DB-4109-BD30-F7462C6DDDD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Chla'!$X$36:$Z$36</c:f>
              <c:numCache>
                <c:formatCode>General</c:formatCode>
                <c:ptCount val="3"/>
                <c:pt idx="0">
                  <c:v>0.95699999999999996</c:v>
                </c:pt>
                <c:pt idx="1">
                  <c:v>0.108</c:v>
                </c:pt>
                <c:pt idx="2">
                  <c:v>3.5000000000000003E-2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DB-4109-BD30-F7462C6DDDD2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Chla'!$X$37:$Z$37</c:f>
              <c:numCache>
                <c:formatCode>General</c:formatCode>
                <c:ptCount val="3"/>
                <c:pt idx="0">
                  <c:v>0.999</c:v>
                </c:pt>
                <c:pt idx="1">
                  <c:v>0.124</c:v>
                </c:pt>
                <c:pt idx="2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3DB-4109-BD30-F7462C6DDDD2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Chla'!$X$38:$Z$38</c:f>
              <c:numCache>
                <c:formatCode>General</c:formatCode>
                <c:ptCount val="3"/>
                <c:pt idx="0">
                  <c:v>1.119</c:v>
                </c:pt>
                <c:pt idx="1">
                  <c:v>0.15</c:v>
                </c:pt>
                <c:pt idx="2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3DB-4109-BD30-F7462C6DDDD2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Chla'!$X$39:$Z$39</c:f>
              <c:numCache>
                <c:formatCode>General</c:formatCode>
                <c:ptCount val="3"/>
                <c:pt idx="0">
                  <c:v>1.0449999999999999</c:v>
                </c:pt>
                <c:pt idx="1">
                  <c:v>0.13600000000000001</c:v>
                </c:pt>
                <c:pt idx="2">
                  <c:v>4.5999999999999999E-2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3DB-4109-BD30-F7462C6DDDD2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Chla'!$X$40:$Z$40</c:f>
              <c:numCache>
                <c:formatCode>General</c:formatCode>
                <c:ptCount val="3"/>
                <c:pt idx="0">
                  <c:v>1.1020000000000001</c:v>
                </c:pt>
                <c:pt idx="1">
                  <c:v>0.13600000000000001</c:v>
                </c:pt>
                <c:pt idx="2">
                  <c:v>4.5999999999999999E-2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3DB-4109-BD30-F7462C6DDDD2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Chla'!$X$41:$Z$41</c:f>
              <c:numCache>
                <c:formatCode>General</c:formatCode>
                <c:ptCount val="3"/>
                <c:pt idx="0">
                  <c:v>1.0249999999999999</c:v>
                </c:pt>
                <c:pt idx="1">
                  <c:v>0.123</c:v>
                </c:pt>
                <c:pt idx="2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3DB-4109-BD30-F7462C6DDDD2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Chla'!$X$42:$Z$42</c:f>
              <c:numCache>
                <c:formatCode>General</c:formatCode>
                <c:ptCount val="3"/>
                <c:pt idx="0">
                  <c:v>1.01</c:v>
                </c:pt>
                <c:pt idx="1">
                  <c:v>0.123</c:v>
                </c:pt>
                <c:pt idx="2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3DB-4109-BD30-F7462C6DDDD2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Chla'!$X$43:$Z$43</c:f>
              <c:numCache>
                <c:formatCode>General</c:formatCode>
                <c:ptCount val="3"/>
                <c:pt idx="0">
                  <c:v>0.98499999999999999</c:v>
                </c:pt>
                <c:pt idx="1">
                  <c:v>0.125</c:v>
                </c:pt>
                <c:pt idx="2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3DB-4109-BD30-F7462C6DDDD2}"/>
            </c:ext>
          </c:extLst>
        </c:ser>
        <c:ser>
          <c:idx val="13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Chla'!$X$44:$Z$44</c:f>
              <c:numCache>
                <c:formatCode>General</c:formatCode>
                <c:ptCount val="3"/>
                <c:pt idx="0">
                  <c:v>1.1359999999999999</c:v>
                </c:pt>
                <c:pt idx="1">
                  <c:v>0.14599999999999999</c:v>
                </c:pt>
                <c:pt idx="2">
                  <c:v>4.9000000000000002E-2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3DB-4109-BD30-F7462C6DDDD2}"/>
            </c:ext>
          </c:extLst>
        </c:ser>
        <c:ser>
          <c:idx val="14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Chla'!$X$45:$Z$45</c:f>
              <c:numCache>
                <c:formatCode>General</c:formatCode>
                <c:ptCount val="3"/>
                <c:pt idx="0">
                  <c:v>1.129</c:v>
                </c:pt>
                <c:pt idx="1">
                  <c:v>0.14699999999999999</c:v>
                </c:pt>
                <c:pt idx="2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3DB-4109-BD30-F7462C6DDDD2}"/>
            </c:ext>
          </c:extLst>
        </c:ser>
        <c:ser>
          <c:idx val="15"/>
          <c:order val="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Chla'!$X$46:$Z$46</c:f>
              <c:numCache>
                <c:formatCode>General</c:formatCode>
                <c:ptCount val="3"/>
                <c:pt idx="0">
                  <c:v>1.024</c:v>
                </c:pt>
                <c:pt idx="1">
                  <c:v>0.11899999999999999</c:v>
                </c:pt>
                <c:pt idx="2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3DB-4109-BD30-F7462C6DDDD2}"/>
            </c:ext>
          </c:extLst>
        </c:ser>
        <c:ser>
          <c:idx val="16"/>
          <c:order val="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Chla'!$X$47:$Z$47</c:f>
              <c:numCache>
                <c:formatCode>General</c:formatCode>
                <c:ptCount val="3"/>
                <c:pt idx="0">
                  <c:v>1.0129999999999999</c:v>
                </c:pt>
                <c:pt idx="1">
                  <c:v>0.12</c:v>
                </c:pt>
                <c:pt idx="2">
                  <c:v>4.1000000000000002E-2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3DB-4109-BD30-F7462C6DDDD2}"/>
            </c:ext>
          </c:extLst>
        </c:ser>
        <c:ser>
          <c:idx val="17"/>
          <c:order val="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Chla'!$X$48:$Z$48</c:f>
              <c:numCache>
                <c:formatCode>General</c:formatCode>
                <c:ptCount val="3"/>
                <c:pt idx="0">
                  <c:v>0.999</c:v>
                </c:pt>
                <c:pt idx="1">
                  <c:v>0.114</c:v>
                </c:pt>
                <c:pt idx="2">
                  <c:v>3.7999999999999999E-2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3DB-4109-BD30-F7462C6DDDD2}"/>
            </c:ext>
          </c:extLst>
        </c:ser>
        <c:ser>
          <c:idx val="18"/>
          <c:order val="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Chla'!$X$49:$Z$49</c:f>
              <c:numCache>
                <c:formatCode>General</c:formatCode>
                <c:ptCount val="3"/>
                <c:pt idx="0">
                  <c:v>0.99</c:v>
                </c:pt>
                <c:pt idx="1">
                  <c:v>0.123</c:v>
                </c:pt>
                <c:pt idx="2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3DB-4109-BD30-F7462C6DDDD2}"/>
            </c:ext>
          </c:extLst>
        </c:ser>
        <c:ser>
          <c:idx val="19"/>
          <c:order val="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Chla'!$X$50:$Z$50</c:f>
              <c:numCache>
                <c:formatCode>General</c:formatCode>
                <c:ptCount val="3"/>
                <c:pt idx="0">
                  <c:v>1.129</c:v>
                </c:pt>
                <c:pt idx="1">
                  <c:v>0.151</c:v>
                </c:pt>
                <c:pt idx="2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3DB-4109-BD30-F7462C6DDDD2}"/>
            </c:ext>
          </c:extLst>
        </c:ser>
        <c:ser>
          <c:idx val="20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Chla'!$X$51:$Z$51</c:f>
              <c:numCache>
                <c:formatCode>General</c:formatCode>
                <c:ptCount val="3"/>
                <c:pt idx="0">
                  <c:v>1.0449999999999999</c:v>
                </c:pt>
                <c:pt idx="1">
                  <c:v>0.14899999999999999</c:v>
                </c:pt>
                <c:pt idx="2">
                  <c:v>5.3999999999999999E-2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3DB-4109-BD30-F7462C6DDDD2}"/>
            </c:ext>
          </c:extLst>
        </c:ser>
        <c:ser>
          <c:idx val="21"/>
          <c:order val="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Chla'!$X$52:$Z$52</c:f>
              <c:numCache>
                <c:formatCode>General</c:formatCode>
                <c:ptCount val="3"/>
                <c:pt idx="0">
                  <c:v>1.0449999999999999</c:v>
                </c:pt>
                <c:pt idx="1">
                  <c:v>0.125</c:v>
                </c:pt>
                <c:pt idx="2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3DB-4109-BD30-F7462C6DDDD2}"/>
            </c:ext>
          </c:extLst>
        </c:ser>
        <c:ser>
          <c:idx val="22"/>
          <c:order val="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Chla'!$X$53:$Z$53</c:f>
              <c:numCache>
                <c:formatCode>General</c:formatCode>
                <c:ptCount val="3"/>
                <c:pt idx="0">
                  <c:v>1.0069999999999999</c:v>
                </c:pt>
                <c:pt idx="1">
                  <c:v>0.122</c:v>
                </c:pt>
                <c:pt idx="2">
                  <c:v>4.1000000000000002E-2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3DB-4109-BD30-F7462C6DDDD2}"/>
            </c:ext>
          </c:extLst>
        </c:ser>
        <c:ser>
          <c:idx val="23"/>
          <c:order val="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Chla'!$X$54:$Z$54</c:f>
              <c:numCache>
                <c:formatCode>General</c:formatCode>
                <c:ptCount val="3"/>
                <c:pt idx="0">
                  <c:v>1.1459999999999999</c:v>
                </c:pt>
                <c:pt idx="1">
                  <c:v>0.14499999999999999</c:v>
                </c:pt>
                <c:pt idx="2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3DB-4109-BD30-F7462C6DDDD2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36917299695220718"/>
                  <c:y val="-0.398922120181962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Chla'!$X$55:$Z$55</c:f>
              <c:numCache>
                <c:formatCode>General</c:formatCode>
                <c:ptCount val="3"/>
                <c:pt idx="0">
                  <c:v>1.0980000000000001</c:v>
                </c:pt>
                <c:pt idx="1">
                  <c:v>0.13900000000000001</c:v>
                </c:pt>
                <c:pt idx="2">
                  <c:v>4.5999999999999999E-2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3DB-4109-BD30-F7462C6DDDD2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1.9050278289681876E-2"/>
                  <c:y val="-0.605234065076584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Chla'!$X$56:$Z$56</c:f>
              <c:numCache>
                <c:formatCode>General</c:formatCode>
                <c:ptCount val="3"/>
                <c:pt idx="0">
                  <c:v>1.579</c:v>
                </c:pt>
                <c:pt idx="1">
                  <c:v>0.253</c:v>
                </c:pt>
                <c:pt idx="2">
                  <c:v>9.5000000000000001E-2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3DB-4109-BD30-F7462C6DDDD2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Chla'!$X$57:$Z$57</c:f>
              <c:numCache>
                <c:formatCode>General</c:formatCode>
                <c:ptCount val="3"/>
                <c:pt idx="0">
                  <c:v>1.4510000000000001</c:v>
                </c:pt>
                <c:pt idx="1">
                  <c:v>0.23</c:v>
                </c:pt>
                <c:pt idx="2">
                  <c:v>8.5000000000000006E-2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3DB-4109-BD30-F7462C6DDDD2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Chla'!$X$58:$Z$58</c:f>
              <c:numCache>
                <c:formatCode>General</c:formatCode>
                <c:ptCount val="3"/>
                <c:pt idx="0">
                  <c:v>1.385</c:v>
                </c:pt>
                <c:pt idx="1">
                  <c:v>0.19500000000000001</c:v>
                </c:pt>
                <c:pt idx="2">
                  <c:v>6.9000000000000006E-2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3DB-4109-BD30-F7462C6DDDD2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Chla'!$X$59:$Z$59</c:f>
              <c:numCache>
                <c:formatCode>General</c:formatCode>
                <c:ptCount val="3"/>
                <c:pt idx="0">
                  <c:v>1.4359999999999999</c:v>
                </c:pt>
                <c:pt idx="1">
                  <c:v>0.20599999999999999</c:v>
                </c:pt>
                <c:pt idx="2">
                  <c:v>7.0999999999999994E-2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3DB-4109-BD30-F7462C6DDDD2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'Phy Chem Chla'!$X$1:$Z$1</c:f>
              <c:numCache>
                <c:formatCode>General</c:formatCode>
                <c:ptCount val="3"/>
                <c:pt idx="0">
                  <c:v>254</c:v>
                </c:pt>
                <c:pt idx="1">
                  <c:v>365</c:v>
                </c:pt>
                <c:pt idx="2">
                  <c:v>420</c:v>
                </c:pt>
              </c:numCache>
            </c:numRef>
          </c:xVal>
          <c:yVal>
            <c:numRef>
              <c:f>'Phy Chem Chla'!$X$60:$Z$60</c:f>
              <c:numCache>
                <c:formatCode>General</c:formatCode>
                <c:ptCount val="3"/>
                <c:pt idx="0">
                  <c:v>1.3879999999999999</c:v>
                </c:pt>
                <c:pt idx="1">
                  <c:v>0.191</c:v>
                </c:pt>
                <c:pt idx="2">
                  <c:v>6.6000000000000003E-2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3DB-4109-BD30-F7462C6DD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728671"/>
        <c:axId val="955730111"/>
      </c:scatterChart>
      <c:valAx>
        <c:axId val="955728671"/>
        <c:scaling>
          <c:orientation val="minMax"/>
          <c:min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5730111"/>
        <c:crosses val="autoZero"/>
        <c:crossBetween val="midCat"/>
      </c:valAx>
      <c:valAx>
        <c:axId val="95573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5572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34290</xdr:colOff>
      <xdr:row>3</xdr:row>
      <xdr:rowOff>25717</xdr:rowOff>
    </xdr:from>
    <xdr:to>
      <xdr:col>38</xdr:col>
      <xdr:colOff>304800</xdr:colOff>
      <xdr:row>18</xdr:row>
      <xdr:rowOff>60007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BCAB7A54-BE95-9183-7DD4-1759255C1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F11D-2CA7-4220-A9B0-95EBECF6DFD9}">
  <dimension ref="A1:AE69"/>
  <sheetViews>
    <sheetView workbookViewId="0">
      <pane ySplit="2" topLeftCell="A3" activePane="bottomLeft" state="frozen"/>
      <selection pane="bottomLeft" activeCell="G55" sqref="G55"/>
    </sheetView>
  </sheetViews>
  <sheetFormatPr defaultRowHeight="14.45"/>
  <cols>
    <col min="1" max="1" width="17.28515625" bestFit="1" customWidth="1"/>
    <col min="7" max="7" width="17" customWidth="1"/>
    <col min="27" max="27" width="8.85546875" style="6"/>
    <col min="28" max="28" width="10.7109375" customWidth="1"/>
    <col min="31" max="31" width="15.5703125" customWidth="1"/>
  </cols>
  <sheetData>
    <row r="1" spans="1:31">
      <c r="X1">
        <v>254</v>
      </c>
      <c r="Y1">
        <v>365</v>
      </c>
      <c r="Z1">
        <v>420</v>
      </c>
    </row>
    <row r="2" spans="1:31" ht="57.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10" t="s">
        <v>22</v>
      </c>
      <c r="X2" s="10" t="s">
        <v>23</v>
      </c>
      <c r="Y2" s="10" t="s">
        <v>24</v>
      </c>
      <c r="Z2" s="10" t="s">
        <v>25</v>
      </c>
      <c r="AA2" s="7" t="s">
        <v>26</v>
      </c>
      <c r="AB2" s="11" t="s">
        <v>27</v>
      </c>
      <c r="AC2" s="10" t="s">
        <v>28</v>
      </c>
      <c r="AD2" s="4" t="s">
        <v>29</v>
      </c>
      <c r="AE2" s="9" t="s">
        <v>30</v>
      </c>
    </row>
    <row r="3" spans="1:31">
      <c r="A3" t="s">
        <v>31</v>
      </c>
      <c r="B3">
        <v>119972</v>
      </c>
      <c r="C3">
        <v>6589962</v>
      </c>
      <c r="D3">
        <v>655471</v>
      </c>
      <c r="E3" t="s">
        <v>32</v>
      </c>
      <c r="F3" t="s">
        <v>33</v>
      </c>
      <c r="G3" t="s">
        <v>34</v>
      </c>
      <c r="H3">
        <v>2015</v>
      </c>
      <c r="I3">
        <v>3</v>
      </c>
      <c r="J3">
        <v>5</v>
      </c>
      <c r="K3">
        <v>0.5</v>
      </c>
      <c r="L3">
        <v>3.2</v>
      </c>
      <c r="M3">
        <v>1.2</v>
      </c>
      <c r="N3">
        <v>13.6</v>
      </c>
      <c r="O3">
        <v>7.8</v>
      </c>
      <c r="P3">
        <v>0.91</v>
      </c>
      <c r="Q3">
        <v>20</v>
      </c>
      <c r="R3">
        <v>6.3</v>
      </c>
      <c r="S3">
        <v>230</v>
      </c>
      <c r="T3">
        <v>460</v>
      </c>
      <c r="U3">
        <v>22</v>
      </c>
      <c r="V3">
        <v>28</v>
      </c>
      <c r="W3" t="s">
        <v>35</v>
      </c>
      <c r="Z3">
        <v>5.8999999999999997E-2</v>
      </c>
      <c r="AA3" s="6">
        <f>Z3/0.029307</f>
        <v>2.0131709147985122</v>
      </c>
      <c r="AB3">
        <v>3.5</v>
      </c>
      <c r="AC3">
        <v>8.5</v>
      </c>
      <c r="AD3">
        <v>2.2000000000000002</v>
      </c>
      <c r="AE3" t="s">
        <v>35</v>
      </c>
    </row>
    <row r="4" spans="1:31">
      <c r="A4" t="s">
        <v>31</v>
      </c>
      <c r="B4">
        <v>119972</v>
      </c>
      <c r="C4">
        <v>6589962</v>
      </c>
      <c r="D4">
        <v>655471</v>
      </c>
      <c r="E4" t="s">
        <v>32</v>
      </c>
      <c r="F4" t="s">
        <v>33</v>
      </c>
      <c r="G4" t="s">
        <v>36</v>
      </c>
      <c r="H4">
        <v>2015</v>
      </c>
      <c r="I4">
        <v>4</v>
      </c>
      <c r="J4">
        <v>8</v>
      </c>
      <c r="K4">
        <v>0.5</v>
      </c>
      <c r="L4">
        <v>2.8</v>
      </c>
      <c r="M4">
        <v>3.6</v>
      </c>
      <c r="N4">
        <v>13.6</v>
      </c>
      <c r="O4">
        <v>7.9</v>
      </c>
      <c r="P4">
        <v>1.1000000000000001</v>
      </c>
      <c r="Q4">
        <v>21</v>
      </c>
      <c r="R4">
        <v>3.4</v>
      </c>
      <c r="S4">
        <v>290</v>
      </c>
      <c r="T4">
        <v>620</v>
      </c>
      <c r="U4">
        <v>15</v>
      </c>
      <c r="V4">
        <v>31</v>
      </c>
      <c r="W4" t="s">
        <v>35</v>
      </c>
      <c r="X4" t="s">
        <v>35</v>
      </c>
      <c r="Y4" t="s">
        <v>35</v>
      </c>
      <c r="Z4">
        <v>6.3E-2</v>
      </c>
      <c r="AA4" s="6">
        <f t="shared" ref="AA4:AA59" si="0">Z4/0.029307</f>
        <v>2.1496570785136657</v>
      </c>
      <c r="AB4">
        <v>3.3</v>
      </c>
      <c r="AC4">
        <v>8.1</v>
      </c>
      <c r="AD4">
        <v>9.6999999999999993</v>
      </c>
      <c r="AE4" t="s">
        <v>35</v>
      </c>
    </row>
    <row r="5" spans="1:31">
      <c r="A5" t="s">
        <v>31</v>
      </c>
      <c r="B5">
        <v>119972</v>
      </c>
      <c r="C5">
        <v>6589962</v>
      </c>
      <c r="D5">
        <v>655471</v>
      </c>
      <c r="E5" t="s">
        <v>32</v>
      </c>
      <c r="F5" t="s">
        <v>33</v>
      </c>
      <c r="G5" t="s">
        <v>37</v>
      </c>
      <c r="H5">
        <v>2015</v>
      </c>
      <c r="I5">
        <v>5</v>
      </c>
      <c r="J5">
        <v>19</v>
      </c>
      <c r="K5">
        <v>0.5</v>
      </c>
      <c r="L5">
        <v>2.9</v>
      </c>
      <c r="M5">
        <v>9.3000000000000007</v>
      </c>
      <c r="N5">
        <v>12.8</v>
      </c>
      <c r="O5">
        <v>8.4</v>
      </c>
      <c r="P5">
        <v>1.1000000000000001</v>
      </c>
      <c r="Q5">
        <v>22</v>
      </c>
      <c r="R5">
        <v>13</v>
      </c>
      <c r="S5">
        <v>110</v>
      </c>
      <c r="T5">
        <v>460</v>
      </c>
      <c r="U5">
        <v>2.2000000000000002</v>
      </c>
      <c r="V5">
        <v>13</v>
      </c>
      <c r="W5" t="s">
        <v>35</v>
      </c>
      <c r="X5" t="s">
        <v>35</v>
      </c>
      <c r="Y5" t="s">
        <v>35</v>
      </c>
      <c r="Z5">
        <v>0.06</v>
      </c>
      <c r="AA5" s="6">
        <f t="shared" si="0"/>
        <v>2.0472924557273005</v>
      </c>
      <c r="AB5">
        <v>2.2000000000000002</v>
      </c>
      <c r="AC5">
        <v>9.5</v>
      </c>
      <c r="AD5">
        <v>8.4</v>
      </c>
      <c r="AE5" t="s">
        <v>35</v>
      </c>
    </row>
    <row r="6" spans="1:31">
      <c r="A6" t="s">
        <v>31</v>
      </c>
      <c r="B6">
        <v>119972</v>
      </c>
      <c r="C6">
        <v>6589962</v>
      </c>
      <c r="D6">
        <v>655471</v>
      </c>
      <c r="E6" t="s">
        <v>32</v>
      </c>
      <c r="F6" t="s">
        <v>33</v>
      </c>
      <c r="G6" t="s">
        <v>38</v>
      </c>
      <c r="H6">
        <v>2015</v>
      </c>
      <c r="I6">
        <v>7</v>
      </c>
      <c r="J6">
        <v>8</v>
      </c>
      <c r="K6">
        <v>0.5</v>
      </c>
      <c r="L6">
        <v>2.9</v>
      </c>
      <c r="M6">
        <v>18.399999999999999</v>
      </c>
      <c r="N6">
        <v>5</v>
      </c>
      <c r="O6">
        <v>8.1</v>
      </c>
      <c r="P6">
        <v>1.1000000000000001</v>
      </c>
      <c r="Q6">
        <v>22</v>
      </c>
      <c r="R6">
        <v>39</v>
      </c>
      <c r="S6">
        <v>43</v>
      </c>
      <c r="T6">
        <v>500</v>
      </c>
      <c r="U6">
        <v>1.4</v>
      </c>
      <c r="V6">
        <v>18</v>
      </c>
      <c r="W6" t="s">
        <v>35</v>
      </c>
      <c r="X6" t="s">
        <v>35</v>
      </c>
      <c r="Y6" t="s">
        <v>35</v>
      </c>
      <c r="Z6">
        <v>5.3999999999999999E-2</v>
      </c>
      <c r="AA6" s="6">
        <f t="shared" si="0"/>
        <v>1.8425632101545706</v>
      </c>
      <c r="AB6">
        <v>1.6</v>
      </c>
      <c r="AC6">
        <v>9.1</v>
      </c>
      <c r="AD6">
        <v>5</v>
      </c>
      <c r="AE6" t="s">
        <v>35</v>
      </c>
    </row>
    <row r="7" spans="1:31">
      <c r="A7" t="s">
        <v>31</v>
      </c>
      <c r="B7">
        <v>119972</v>
      </c>
      <c r="C7">
        <v>6589962</v>
      </c>
      <c r="D7">
        <v>655471</v>
      </c>
      <c r="E7" t="s">
        <v>32</v>
      </c>
      <c r="F7" t="s">
        <v>33</v>
      </c>
      <c r="G7" t="s">
        <v>39</v>
      </c>
      <c r="H7">
        <v>2015</v>
      </c>
      <c r="I7">
        <v>8</v>
      </c>
      <c r="J7">
        <v>4</v>
      </c>
      <c r="K7">
        <v>0.5</v>
      </c>
      <c r="L7">
        <v>3</v>
      </c>
      <c r="M7">
        <v>19.600000000000001</v>
      </c>
      <c r="N7">
        <v>10.1</v>
      </c>
      <c r="O7" t="s">
        <v>35</v>
      </c>
      <c r="P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B7" t="s">
        <v>35</v>
      </c>
      <c r="AC7" t="s">
        <v>35</v>
      </c>
      <c r="AD7" t="s">
        <v>35</v>
      </c>
      <c r="AE7" t="s">
        <v>35</v>
      </c>
    </row>
    <row r="8" spans="1:31">
      <c r="A8" t="s">
        <v>31</v>
      </c>
      <c r="B8">
        <v>119972</v>
      </c>
      <c r="C8">
        <v>6589962</v>
      </c>
      <c r="D8">
        <v>655471</v>
      </c>
      <c r="E8" t="s">
        <v>32</v>
      </c>
      <c r="F8" t="s">
        <v>33</v>
      </c>
      <c r="G8" t="s">
        <v>40</v>
      </c>
      <c r="H8">
        <v>2015</v>
      </c>
      <c r="I8">
        <v>8</v>
      </c>
      <c r="J8">
        <v>12</v>
      </c>
      <c r="K8">
        <v>0.5</v>
      </c>
      <c r="L8">
        <v>9.8000000000000007</v>
      </c>
      <c r="M8">
        <v>19.8</v>
      </c>
      <c r="N8">
        <v>9.5</v>
      </c>
      <c r="O8">
        <v>8.1</v>
      </c>
      <c r="P8">
        <v>1</v>
      </c>
      <c r="Q8">
        <v>21</v>
      </c>
      <c r="R8">
        <v>21</v>
      </c>
      <c r="S8">
        <v>11</v>
      </c>
      <c r="T8">
        <v>440</v>
      </c>
      <c r="U8">
        <v>1.1000000000000001</v>
      </c>
      <c r="V8">
        <v>18</v>
      </c>
      <c r="W8" t="s">
        <v>35</v>
      </c>
      <c r="X8" t="s">
        <v>35</v>
      </c>
      <c r="Y8" t="s">
        <v>35</v>
      </c>
      <c r="Z8">
        <v>5.1999999999999998E-2</v>
      </c>
      <c r="AA8" s="6">
        <f t="shared" si="0"/>
        <v>1.7743201282969938</v>
      </c>
      <c r="AB8">
        <v>1.2</v>
      </c>
      <c r="AC8">
        <v>8.6</v>
      </c>
      <c r="AD8">
        <v>7.3</v>
      </c>
      <c r="AE8" t="s">
        <v>35</v>
      </c>
    </row>
    <row r="9" spans="1:31">
      <c r="A9" t="s">
        <v>31</v>
      </c>
      <c r="B9">
        <v>119972</v>
      </c>
      <c r="C9">
        <v>6589962</v>
      </c>
      <c r="D9">
        <v>655471</v>
      </c>
      <c r="E9" t="s">
        <v>32</v>
      </c>
      <c r="F9" t="s">
        <v>33</v>
      </c>
      <c r="G9" t="s">
        <v>41</v>
      </c>
      <c r="H9">
        <v>2015</v>
      </c>
      <c r="I9">
        <v>9</v>
      </c>
      <c r="J9">
        <v>9</v>
      </c>
      <c r="K9">
        <v>0.5</v>
      </c>
      <c r="L9">
        <v>3.8</v>
      </c>
      <c r="M9">
        <v>17.100000000000001</v>
      </c>
      <c r="N9">
        <v>8.4</v>
      </c>
      <c r="O9">
        <v>7.9</v>
      </c>
      <c r="P9">
        <v>1</v>
      </c>
      <c r="Q9">
        <v>20</v>
      </c>
      <c r="R9">
        <v>6.9</v>
      </c>
      <c r="S9">
        <v>51</v>
      </c>
      <c r="T9">
        <v>410</v>
      </c>
      <c r="U9">
        <v>4.4000000000000004</v>
      </c>
      <c r="V9">
        <v>6.6</v>
      </c>
      <c r="W9" t="s">
        <v>35</v>
      </c>
      <c r="X9" t="s">
        <v>35</v>
      </c>
      <c r="Y9" t="s">
        <v>35</v>
      </c>
      <c r="Z9">
        <v>4.8000000000000001E-2</v>
      </c>
      <c r="AA9" s="6">
        <f t="shared" si="0"/>
        <v>1.6378339645818405</v>
      </c>
      <c r="AB9">
        <v>1.4</v>
      </c>
      <c r="AC9">
        <v>7.5</v>
      </c>
      <c r="AD9">
        <v>4.3</v>
      </c>
      <c r="AE9" t="s">
        <v>35</v>
      </c>
    </row>
    <row r="10" spans="1:31">
      <c r="A10" t="s">
        <v>31</v>
      </c>
      <c r="B10">
        <v>119972</v>
      </c>
      <c r="C10">
        <v>6589962</v>
      </c>
      <c r="D10">
        <v>655471</v>
      </c>
      <c r="E10" t="s">
        <v>32</v>
      </c>
      <c r="F10" t="s">
        <v>33</v>
      </c>
      <c r="G10" t="s">
        <v>42</v>
      </c>
      <c r="H10">
        <v>2016</v>
      </c>
      <c r="I10">
        <v>7</v>
      </c>
      <c r="J10">
        <v>27</v>
      </c>
      <c r="K10">
        <v>0.5</v>
      </c>
      <c r="L10">
        <v>3.2</v>
      </c>
      <c r="M10">
        <v>19.7</v>
      </c>
      <c r="N10">
        <v>8</v>
      </c>
      <c r="O10">
        <v>8.1</v>
      </c>
      <c r="P10">
        <v>1.1000000000000001</v>
      </c>
      <c r="Q10">
        <v>21</v>
      </c>
      <c r="R10">
        <v>8</v>
      </c>
      <c r="S10">
        <v>3</v>
      </c>
      <c r="T10">
        <v>370</v>
      </c>
      <c r="U10" t="s">
        <v>43</v>
      </c>
      <c r="V10">
        <v>13</v>
      </c>
      <c r="W10" t="s">
        <v>35</v>
      </c>
      <c r="X10" t="s">
        <v>35</v>
      </c>
      <c r="Y10" t="s">
        <v>35</v>
      </c>
      <c r="Z10">
        <v>0.04</v>
      </c>
      <c r="AA10" s="6">
        <f t="shared" si="0"/>
        <v>1.3648616371515339</v>
      </c>
      <c r="AB10">
        <v>1.5</v>
      </c>
      <c r="AC10">
        <v>8.5</v>
      </c>
      <c r="AD10" t="s">
        <v>35</v>
      </c>
      <c r="AE10" t="s">
        <v>35</v>
      </c>
    </row>
    <row r="11" spans="1:31">
      <c r="A11" t="s">
        <v>31</v>
      </c>
      <c r="B11">
        <v>119972</v>
      </c>
      <c r="C11">
        <v>6589962</v>
      </c>
      <c r="D11">
        <v>655471</v>
      </c>
      <c r="E11" t="s">
        <v>32</v>
      </c>
      <c r="F11" t="s">
        <v>33</v>
      </c>
      <c r="G11" t="s">
        <v>44</v>
      </c>
      <c r="H11">
        <v>2016</v>
      </c>
      <c r="I11">
        <v>8</v>
      </c>
      <c r="J11">
        <v>19</v>
      </c>
      <c r="K11">
        <v>0.5</v>
      </c>
      <c r="L11">
        <v>3.1</v>
      </c>
      <c r="M11">
        <v>17.2</v>
      </c>
      <c r="N11">
        <v>8.6999999999999993</v>
      </c>
      <c r="O11">
        <v>8</v>
      </c>
      <c r="P11">
        <v>1</v>
      </c>
      <c r="Q11">
        <v>20</v>
      </c>
      <c r="R11">
        <v>7.5</v>
      </c>
      <c r="S11">
        <v>5.2</v>
      </c>
      <c r="T11">
        <v>340</v>
      </c>
      <c r="U11">
        <v>1.2</v>
      </c>
      <c r="V11">
        <v>16</v>
      </c>
      <c r="W11" t="s">
        <v>35</v>
      </c>
      <c r="X11" t="s">
        <v>35</v>
      </c>
      <c r="Y11" t="s">
        <v>35</v>
      </c>
      <c r="Z11">
        <v>3.9E-2</v>
      </c>
      <c r="AA11" s="6">
        <f t="shared" si="0"/>
        <v>1.3307400962227454</v>
      </c>
      <c r="AB11">
        <v>1.6</v>
      </c>
      <c r="AC11">
        <v>8.1</v>
      </c>
      <c r="AD11">
        <v>7.6</v>
      </c>
      <c r="AE11" t="s">
        <v>35</v>
      </c>
    </row>
    <row r="12" spans="1:31">
      <c r="A12" t="s">
        <v>31</v>
      </c>
      <c r="B12">
        <v>119972</v>
      </c>
      <c r="C12">
        <v>6589962</v>
      </c>
      <c r="D12">
        <v>655471</v>
      </c>
      <c r="E12" t="s">
        <v>32</v>
      </c>
      <c r="F12" t="s">
        <v>33</v>
      </c>
      <c r="G12" t="s">
        <v>45</v>
      </c>
      <c r="H12">
        <v>2016</v>
      </c>
      <c r="I12">
        <v>9</v>
      </c>
      <c r="J12">
        <v>29</v>
      </c>
      <c r="K12">
        <v>0.5</v>
      </c>
      <c r="L12">
        <v>3.8</v>
      </c>
      <c r="M12">
        <v>15.6</v>
      </c>
      <c r="N12">
        <v>9</v>
      </c>
      <c r="O12">
        <v>8</v>
      </c>
      <c r="P12">
        <v>1</v>
      </c>
      <c r="Q12">
        <v>21</v>
      </c>
      <c r="R12">
        <v>11</v>
      </c>
      <c r="S12">
        <v>7</v>
      </c>
      <c r="T12">
        <v>390</v>
      </c>
      <c r="U12">
        <v>1.9</v>
      </c>
      <c r="V12">
        <v>16</v>
      </c>
      <c r="W12" t="s">
        <v>35</v>
      </c>
      <c r="X12" t="s">
        <v>35</v>
      </c>
      <c r="Y12" t="s">
        <v>35</v>
      </c>
      <c r="Z12">
        <v>4.1000000000000002E-2</v>
      </c>
      <c r="AA12" s="6">
        <f t="shared" si="0"/>
        <v>1.3989831780803221</v>
      </c>
      <c r="AB12">
        <v>1</v>
      </c>
      <c r="AC12">
        <v>7.8</v>
      </c>
      <c r="AD12">
        <v>7.8</v>
      </c>
      <c r="AE12" t="s">
        <v>35</v>
      </c>
    </row>
    <row r="13" spans="1:31">
      <c r="A13" t="s">
        <v>31</v>
      </c>
      <c r="B13">
        <v>119972</v>
      </c>
      <c r="C13">
        <v>6589962</v>
      </c>
      <c r="D13">
        <v>655471</v>
      </c>
      <c r="E13" t="s">
        <v>32</v>
      </c>
      <c r="F13" t="s">
        <v>33</v>
      </c>
      <c r="G13" t="s">
        <v>46</v>
      </c>
      <c r="H13">
        <v>2017</v>
      </c>
      <c r="I13">
        <v>2</v>
      </c>
      <c r="J13">
        <v>27</v>
      </c>
      <c r="K13">
        <v>0.5</v>
      </c>
      <c r="L13">
        <v>4.8</v>
      </c>
      <c r="M13">
        <v>1</v>
      </c>
      <c r="N13">
        <v>14.25</v>
      </c>
      <c r="O13">
        <v>7.7</v>
      </c>
      <c r="P13">
        <v>1.03</v>
      </c>
      <c r="Q13">
        <v>20.3</v>
      </c>
      <c r="R13">
        <v>3</v>
      </c>
      <c r="S13">
        <v>136</v>
      </c>
      <c r="T13">
        <v>503</v>
      </c>
      <c r="U13">
        <v>18</v>
      </c>
      <c r="V13">
        <v>26.9</v>
      </c>
      <c r="W13">
        <v>0.64</v>
      </c>
      <c r="X13" t="s">
        <v>35</v>
      </c>
      <c r="Y13" t="s">
        <v>35</v>
      </c>
      <c r="Z13">
        <v>4.2999999999999997E-2</v>
      </c>
      <c r="AA13" s="6">
        <f t="shared" si="0"/>
        <v>1.4672262599378987</v>
      </c>
      <c r="AB13">
        <v>0.95</v>
      </c>
      <c r="AC13">
        <v>8.1</v>
      </c>
      <c r="AD13">
        <v>3.5</v>
      </c>
    </row>
    <row r="14" spans="1:31">
      <c r="A14" t="s">
        <v>31</v>
      </c>
      <c r="B14">
        <v>119972</v>
      </c>
      <c r="C14">
        <v>6589962</v>
      </c>
      <c r="D14">
        <v>655471</v>
      </c>
      <c r="E14" t="s">
        <v>32</v>
      </c>
      <c r="F14" t="s">
        <v>33</v>
      </c>
      <c r="G14" t="s">
        <v>47</v>
      </c>
      <c r="H14">
        <v>2017</v>
      </c>
      <c r="I14">
        <v>4</v>
      </c>
      <c r="J14">
        <v>27</v>
      </c>
      <c r="K14">
        <v>0.5</v>
      </c>
      <c r="L14">
        <v>3.7</v>
      </c>
      <c r="M14">
        <v>5</v>
      </c>
      <c r="N14">
        <v>14.33</v>
      </c>
      <c r="O14">
        <v>8.1</v>
      </c>
      <c r="P14">
        <v>1.17</v>
      </c>
      <c r="Q14">
        <v>22</v>
      </c>
      <c r="R14">
        <v>11</v>
      </c>
      <c r="S14">
        <v>21</v>
      </c>
      <c r="T14">
        <v>463</v>
      </c>
      <c r="U14">
        <v>6</v>
      </c>
      <c r="V14">
        <v>25.2</v>
      </c>
      <c r="W14">
        <v>0.64</v>
      </c>
      <c r="X14" t="s">
        <v>35</v>
      </c>
      <c r="Y14" t="s">
        <v>35</v>
      </c>
      <c r="Z14">
        <v>4.2000000000000003E-2</v>
      </c>
      <c r="AA14" s="6">
        <f t="shared" si="0"/>
        <v>1.4331047190091106</v>
      </c>
      <c r="AB14">
        <v>0.96</v>
      </c>
      <c r="AC14">
        <v>8.6</v>
      </c>
      <c r="AD14">
        <v>14</v>
      </c>
    </row>
    <row r="15" spans="1:31">
      <c r="A15" t="s">
        <v>31</v>
      </c>
      <c r="B15">
        <v>119972</v>
      </c>
      <c r="C15">
        <v>6589962</v>
      </c>
      <c r="D15">
        <v>655471</v>
      </c>
      <c r="E15" t="s">
        <v>32</v>
      </c>
      <c r="F15" t="s">
        <v>33</v>
      </c>
      <c r="G15" t="s">
        <v>48</v>
      </c>
      <c r="H15">
        <v>2017</v>
      </c>
      <c r="I15">
        <v>5</v>
      </c>
      <c r="J15">
        <v>15</v>
      </c>
      <c r="K15">
        <v>0.5</v>
      </c>
      <c r="L15">
        <v>3.2</v>
      </c>
      <c r="M15">
        <v>7.6</v>
      </c>
      <c r="N15">
        <v>13.26</v>
      </c>
      <c r="O15">
        <v>8.26</v>
      </c>
      <c r="P15">
        <v>1.1100000000000001</v>
      </c>
      <c r="Q15">
        <v>21.3</v>
      </c>
      <c r="R15">
        <v>5</v>
      </c>
      <c r="S15" t="s">
        <v>49</v>
      </c>
      <c r="T15">
        <v>450</v>
      </c>
      <c r="U15">
        <v>1</v>
      </c>
      <c r="V15">
        <v>18.2</v>
      </c>
      <c r="W15">
        <v>0.56000000000000005</v>
      </c>
      <c r="X15" t="s">
        <v>35</v>
      </c>
      <c r="Y15" t="s">
        <v>35</v>
      </c>
      <c r="Z15">
        <v>3.7999999999999999E-2</v>
      </c>
      <c r="AA15" s="6">
        <f t="shared" si="0"/>
        <v>1.2966185552939571</v>
      </c>
      <c r="AB15">
        <v>0.95</v>
      </c>
      <c r="AC15">
        <v>9.1</v>
      </c>
      <c r="AD15">
        <v>9</v>
      </c>
      <c r="AE15" t="s">
        <v>35</v>
      </c>
    </row>
    <row r="16" spans="1:31">
      <c r="A16" t="s">
        <v>31</v>
      </c>
      <c r="B16">
        <v>119972</v>
      </c>
      <c r="C16">
        <v>6589962</v>
      </c>
      <c r="D16">
        <v>655471</v>
      </c>
      <c r="E16" t="s">
        <v>32</v>
      </c>
      <c r="F16" t="s">
        <v>33</v>
      </c>
      <c r="G16" t="s">
        <v>50</v>
      </c>
      <c r="H16">
        <v>2017</v>
      </c>
      <c r="I16">
        <v>7</v>
      </c>
      <c r="J16">
        <v>18</v>
      </c>
      <c r="K16">
        <v>0.5</v>
      </c>
      <c r="L16">
        <v>2.8</v>
      </c>
      <c r="M16">
        <v>18.8</v>
      </c>
      <c r="N16">
        <v>9.44</v>
      </c>
      <c r="O16">
        <v>7.94</v>
      </c>
      <c r="P16">
        <v>1.1499999999999999</v>
      </c>
      <c r="Q16">
        <v>21.8</v>
      </c>
      <c r="R16">
        <v>12</v>
      </c>
      <c r="S16" t="s">
        <v>49</v>
      </c>
      <c r="T16">
        <v>427</v>
      </c>
      <c r="U16">
        <v>1</v>
      </c>
      <c r="V16">
        <v>13.7</v>
      </c>
      <c r="W16">
        <v>0.52</v>
      </c>
      <c r="X16" t="s">
        <v>35</v>
      </c>
      <c r="Y16" t="s">
        <v>35</v>
      </c>
      <c r="Z16">
        <v>3.5000000000000003E-2</v>
      </c>
      <c r="AA16" s="6">
        <f t="shared" si="0"/>
        <v>1.1942539325075923</v>
      </c>
      <c r="AB16">
        <v>1.6</v>
      </c>
      <c r="AC16">
        <v>8.5</v>
      </c>
      <c r="AD16">
        <v>4.4000000000000004</v>
      </c>
    </row>
    <row r="17" spans="1:31">
      <c r="A17" t="s">
        <v>31</v>
      </c>
      <c r="B17">
        <v>119972</v>
      </c>
      <c r="C17">
        <v>6589962</v>
      </c>
      <c r="D17">
        <v>655471</v>
      </c>
      <c r="E17" t="s">
        <v>32</v>
      </c>
      <c r="F17" t="s">
        <v>33</v>
      </c>
      <c r="G17" t="s">
        <v>51</v>
      </c>
      <c r="H17">
        <v>2017</v>
      </c>
      <c r="I17">
        <v>8</v>
      </c>
      <c r="J17">
        <v>15</v>
      </c>
      <c r="K17">
        <v>0.5</v>
      </c>
      <c r="L17" t="s">
        <v>35</v>
      </c>
      <c r="M17">
        <v>19.600000000000001</v>
      </c>
      <c r="N17">
        <v>9.8000000000000007</v>
      </c>
      <c r="O17">
        <v>8.31</v>
      </c>
      <c r="P17">
        <v>1.1200000000000001</v>
      </c>
      <c r="Q17">
        <v>21.5</v>
      </c>
      <c r="R17">
        <v>4</v>
      </c>
      <c r="S17" t="s">
        <v>49</v>
      </c>
      <c r="T17">
        <v>408</v>
      </c>
      <c r="U17" t="s">
        <v>52</v>
      </c>
      <c r="V17">
        <v>16</v>
      </c>
      <c r="W17">
        <v>0.48</v>
      </c>
      <c r="X17" t="s">
        <v>35</v>
      </c>
      <c r="Y17" t="s">
        <v>35</v>
      </c>
      <c r="Z17">
        <v>3.3000000000000002E-2</v>
      </c>
      <c r="AA17" s="6">
        <f t="shared" si="0"/>
        <v>1.1260108506500155</v>
      </c>
      <c r="AB17">
        <v>1.5</v>
      </c>
      <c r="AC17">
        <v>8.1999999999999993</v>
      </c>
      <c r="AD17">
        <v>5.6</v>
      </c>
      <c r="AE17" t="s">
        <v>35</v>
      </c>
    </row>
    <row r="18" spans="1:31">
      <c r="A18" t="s">
        <v>31</v>
      </c>
      <c r="B18">
        <v>119972</v>
      </c>
      <c r="C18">
        <v>6589962</v>
      </c>
      <c r="D18">
        <v>655471</v>
      </c>
      <c r="E18" t="s">
        <v>32</v>
      </c>
      <c r="F18" t="s">
        <v>33</v>
      </c>
      <c r="G18" t="s">
        <v>53</v>
      </c>
      <c r="H18">
        <v>2017</v>
      </c>
      <c r="I18">
        <v>9</v>
      </c>
      <c r="J18">
        <v>14</v>
      </c>
      <c r="K18">
        <v>0.5</v>
      </c>
      <c r="L18">
        <v>3.2</v>
      </c>
      <c r="M18">
        <v>16</v>
      </c>
      <c r="N18">
        <v>9.8000000000000007</v>
      </c>
      <c r="O18">
        <v>7.81</v>
      </c>
      <c r="P18">
        <v>1.1499999999999999</v>
      </c>
      <c r="Q18">
        <v>21.8</v>
      </c>
      <c r="R18">
        <v>11</v>
      </c>
      <c r="S18" t="s">
        <v>49</v>
      </c>
      <c r="T18">
        <v>433</v>
      </c>
      <c r="U18" t="s">
        <v>52</v>
      </c>
      <c r="V18">
        <v>14.9</v>
      </c>
      <c r="W18">
        <v>0.5</v>
      </c>
      <c r="X18" t="s">
        <v>35</v>
      </c>
      <c r="Y18" t="s">
        <v>35</v>
      </c>
      <c r="Z18">
        <v>3.4000000000000002E-2</v>
      </c>
      <c r="AA18" s="6">
        <f t="shared" si="0"/>
        <v>1.1601323915788038</v>
      </c>
      <c r="AB18">
        <v>1.4</v>
      </c>
      <c r="AC18">
        <v>8.5</v>
      </c>
      <c r="AD18">
        <v>9.1</v>
      </c>
    </row>
    <row r="19" spans="1:31">
      <c r="A19" t="s">
        <v>31</v>
      </c>
      <c r="B19">
        <v>119972</v>
      </c>
      <c r="C19">
        <v>6589962</v>
      </c>
      <c r="D19">
        <v>655471</v>
      </c>
      <c r="E19" t="s">
        <v>32</v>
      </c>
      <c r="F19" t="s">
        <v>33</v>
      </c>
      <c r="G19" t="s">
        <v>54</v>
      </c>
      <c r="H19">
        <v>2018</v>
      </c>
      <c r="I19">
        <v>2</v>
      </c>
      <c r="J19">
        <v>8</v>
      </c>
      <c r="K19">
        <v>0.5</v>
      </c>
      <c r="L19">
        <v>3.8</v>
      </c>
      <c r="M19">
        <v>0.2</v>
      </c>
      <c r="N19">
        <v>13.94</v>
      </c>
      <c r="O19">
        <v>7.73</v>
      </c>
      <c r="P19">
        <v>0.95</v>
      </c>
      <c r="Q19">
        <v>19.600000000000001</v>
      </c>
      <c r="R19">
        <v>6</v>
      </c>
      <c r="S19">
        <v>166</v>
      </c>
      <c r="T19">
        <v>516</v>
      </c>
      <c r="U19">
        <v>20</v>
      </c>
      <c r="V19">
        <v>28.5</v>
      </c>
      <c r="W19">
        <v>0.54</v>
      </c>
      <c r="X19" s="8">
        <v>0.91800000000000004</v>
      </c>
      <c r="Y19" s="8">
        <v>0.107</v>
      </c>
      <c r="Z19" s="8">
        <v>3.5999999999999997E-2</v>
      </c>
      <c r="AA19" s="6">
        <f t="shared" si="0"/>
        <v>1.2283754734363803</v>
      </c>
      <c r="AB19">
        <v>2.2999999999999998</v>
      </c>
      <c r="AC19">
        <v>8.1</v>
      </c>
      <c r="AD19">
        <v>2.4</v>
      </c>
    </row>
    <row r="20" spans="1:31">
      <c r="A20" t="s">
        <v>31</v>
      </c>
      <c r="B20">
        <v>119972</v>
      </c>
      <c r="C20">
        <v>6589962</v>
      </c>
      <c r="D20">
        <v>655471</v>
      </c>
      <c r="E20" t="s">
        <v>32</v>
      </c>
      <c r="F20" t="s">
        <v>33</v>
      </c>
      <c r="G20" t="s">
        <v>55</v>
      </c>
      <c r="H20">
        <v>2018</v>
      </c>
      <c r="I20">
        <v>4</v>
      </c>
      <c r="J20">
        <v>25</v>
      </c>
      <c r="K20">
        <v>0.5</v>
      </c>
      <c r="L20">
        <v>2.2000000000000002</v>
      </c>
      <c r="M20">
        <v>4.4000000000000004</v>
      </c>
      <c r="N20">
        <v>14.55</v>
      </c>
      <c r="O20">
        <v>7.91</v>
      </c>
      <c r="P20">
        <v>1.28</v>
      </c>
      <c r="Q20">
        <v>25</v>
      </c>
      <c r="R20">
        <v>8</v>
      </c>
      <c r="S20">
        <v>227</v>
      </c>
      <c r="T20">
        <v>753</v>
      </c>
      <c r="U20">
        <v>4</v>
      </c>
      <c r="V20">
        <v>31.4</v>
      </c>
      <c r="W20">
        <v>0.9</v>
      </c>
      <c r="X20" s="8">
        <v>1.1950000000000001</v>
      </c>
      <c r="Y20" s="8">
        <v>0.16900000000000001</v>
      </c>
      <c r="Z20" s="8">
        <v>0.06</v>
      </c>
      <c r="AA20" s="6">
        <f t="shared" si="0"/>
        <v>2.0472924557273005</v>
      </c>
      <c r="AB20">
        <v>2.8</v>
      </c>
      <c r="AC20">
        <v>9.4</v>
      </c>
      <c r="AD20">
        <v>19</v>
      </c>
      <c r="AE20" t="s">
        <v>35</v>
      </c>
    </row>
    <row r="21" spans="1:31">
      <c r="A21" t="s">
        <v>31</v>
      </c>
      <c r="B21">
        <v>119972</v>
      </c>
      <c r="C21">
        <v>6589962</v>
      </c>
      <c r="D21">
        <v>655471</v>
      </c>
      <c r="E21" t="s">
        <v>32</v>
      </c>
      <c r="F21" t="s">
        <v>33</v>
      </c>
      <c r="G21" t="s">
        <v>56</v>
      </c>
      <c r="H21">
        <v>2018</v>
      </c>
      <c r="I21">
        <v>5</v>
      </c>
      <c r="J21">
        <v>14</v>
      </c>
      <c r="K21">
        <v>0.5</v>
      </c>
      <c r="L21">
        <v>2</v>
      </c>
      <c r="M21">
        <v>15.8</v>
      </c>
      <c r="N21">
        <v>13.83</v>
      </c>
      <c r="O21">
        <v>8.68</v>
      </c>
      <c r="P21">
        <v>1.29</v>
      </c>
      <c r="Q21">
        <v>24.6</v>
      </c>
      <c r="R21">
        <v>14</v>
      </c>
      <c r="S21">
        <v>104</v>
      </c>
      <c r="T21">
        <v>638</v>
      </c>
      <c r="U21" t="s">
        <v>52</v>
      </c>
      <c r="V21">
        <v>27.6</v>
      </c>
      <c r="W21">
        <v>0.84</v>
      </c>
      <c r="X21" s="8">
        <v>1.1240000000000001</v>
      </c>
      <c r="Y21" s="8">
        <v>0.16300000000000001</v>
      </c>
      <c r="Z21" s="8">
        <v>5.7000000000000002E-2</v>
      </c>
      <c r="AA21" s="6">
        <f t="shared" si="0"/>
        <v>1.9449278329409356</v>
      </c>
      <c r="AB21">
        <v>1.8</v>
      </c>
      <c r="AC21">
        <v>9.6999999999999993</v>
      </c>
      <c r="AD21">
        <v>11</v>
      </c>
    </row>
    <row r="22" spans="1:31">
      <c r="A22" t="s">
        <v>31</v>
      </c>
      <c r="B22">
        <v>119972</v>
      </c>
      <c r="C22">
        <v>6589962</v>
      </c>
      <c r="D22">
        <v>655471</v>
      </c>
      <c r="E22" t="s">
        <v>32</v>
      </c>
      <c r="F22" t="s">
        <v>33</v>
      </c>
      <c r="G22" t="s">
        <v>57</v>
      </c>
      <c r="H22">
        <v>2018</v>
      </c>
      <c r="I22">
        <v>7</v>
      </c>
      <c r="J22">
        <v>18</v>
      </c>
      <c r="K22">
        <v>0.5</v>
      </c>
      <c r="L22">
        <v>3.6</v>
      </c>
      <c r="M22">
        <v>23.6</v>
      </c>
      <c r="N22">
        <v>10.07</v>
      </c>
      <c r="O22">
        <v>8.6300000000000008</v>
      </c>
      <c r="P22">
        <v>1.18</v>
      </c>
      <c r="Q22">
        <v>22.9</v>
      </c>
      <c r="R22">
        <v>10</v>
      </c>
      <c r="S22" t="s">
        <v>49</v>
      </c>
      <c r="T22">
        <v>516</v>
      </c>
      <c r="U22" t="s">
        <v>52</v>
      </c>
      <c r="V22">
        <v>14.8</v>
      </c>
      <c r="W22">
        <v>0.68</v>
      </c>
      <c r="X22" s="8">
        <v>1.0329999999999999</v>
      </c>
      <c r="Y22" s="8">
        <v>0.13</v>
      </c>
      <c r="Z22" s="8">
        <v>4.4999999999999998E-2</v>
      </c>
      <c r="AA22" s="6">
        <f t="shared" si="0"/>
        <v>1.5354693417954755</v>
      </c>
      <c r="AB22">
        <v>1.1000000000000001</v>
      </c>
      <c r="AC22">
        <v>8.9</v>
      </c>
      <c r="AD22">
        <v>6.3</v>
      </c>
    </row>
    <row r="23" spans="1:31">
      <c r="A23" t="s">
        <v>31</v>
      </c>
      <c r="B23">
        <v>119972</v>
      </c>
      <c r="C23">
        <v>6589962</v>
      </c>
      <c r="D23">
        <v>655471</v>
      </c>
      <c r="E23" t="s">
        <v>32</v>
      </c>
      <c r="F23" t="s">
        <v>33</v>
      </c>
      <c r="G23" t="s">
        <v>58</v>
      </c>
      <c r="H23">
        <v>2018</v>
      </c>
      <c r="I23">
        <v>8</v>
      </c>
      <c r="J23">
        <v>21</v>
      </c>
      <c r="K23">
        <v>0.5</v>
      </c>
      <c r="L23">
        <v>2.8</v>
      </c>
      <c r="M23">
        <v>19.899999999999999</v>
      </c>
      <c r="N23">
        <v>8.49</v>
      </c>
      <c r="O23">
        <v>8.0399999999999991</v>
      </c>
      <c r="P23">
        <v>1.1399999999999999</v>
      </c>
      <c r="Q23">
        <v>22.4</v>
      </c>
      <c r="R23" t="s">
        <v>49</v>
      </c>
      <c r="S23" t="s">
        <v>49</v>
      </c>
      <c r="T23">
        <v>510</v>
      </c>
      <c r="U23" t="s">
        <v>52</v>
      </c>
      <c r="V23">
        <v>20.2</v>
      </c>
      <c r="W23">
        <v>0.56000000000000005</v>
      </c>
      <c r="X23" s="8">
        <v>0.98</v>
      </c>
      <c r="Y23" s="8">
        <v>0.114</v>
      </c>
      <c r="Z23" s="8">
        <v>3.7999999999999999E-2</v>
      </c>
      <c r="AA23" s="6">
        <f t="shared" si="0"/>
        <v>1.2966185552939571</v>
      </c>
      <c r="AB23">
        <v>2.2000000000000002</v>
      </c>
      <c r="AC23">
        <v>9.4</v>
      </c>
      <c r="AD23">
        <v>13</v>
      </c>
      <c r="AE23" t="s">
        <v>35</v>
      </c>
    </row>
    <row r="24" spans="1:31">
      <c r="A24" t="s">
        <v>31</v>
      </c>
      <c r="B24">
        <v>119972</v>
      </c>
      <c r="C24">
        <v>6589962</v>
      </c>
      <c r="D24">
        <v>655471</v>
      </c>
      <c r="E24" t="s">
        <v>32</v>
      </c>
      <c r="F24" t="s">
        <v>33</v>
      </c>
      <c r="G24" t="s">
        <v>59</v>
      </c>
      <c r="H24">
        <v>2018</v>
      </c>
      <c r="I24">
        <v>9</v>
      </c>
      <c r="J24">
        <v>17</v>
      </c>
      <c r="K24">
        <v>0.5</v>
      </c>
      <c r="L24">
        <v>2</v>
      </c>
      <c r="M24">
        <v>16.2</v>
      </c>
      <c r="N24">
        <v>9.2200000000000006</v>
      </c>
      <c r="O24">
        <v>7.89</v>
      </c>
      <c r="P24">
        <v>1.17</v>
      </c>
      <c r="Q24">
        <v>22.9</v>
      </c>
      <c r="R24">
        <v>12</v>
      </c>
      <c r="S24">
        <v>6</v>
      </c>
      <c r="T24">
        <v>503</v>
      </c>
      <c r="U24" t="s">
        <v>52</v>
      </c>
      <c r="V24">
        <v>18</v>
      </c>
      <c r="W24">
        <v>0.57999999999999996</v>
      </c>
      <c r="X24" s="8">
        <v>0.98699999999999999</v>
      </c>
      <c r="Y24" s="8">
        <v>0.11600000000000001</v>
      </c>
      <c r="Z24" s="8">
        <v>3.9E-2</v>
      </c>
      <c r="AA24" s="6">
        <f t="shared" si="0"/>
        <v>1.3307400962227454</v>
      </c>
      <c r="AB24">
        <v>1.8</v>
      </c>
      <c r="AC24">
        <v>8.6999999999999993</v>
      </c>
      <c r="AD24">
        <v>20</v>
      </c>
      <c r="AE24" t="s">
        <v>35</v>
      </c>
    </row>
    <row r="25" spans="1:31">
      <c r="A25" t="s">
        <v>31</v>
      </c>
      <c r="B25">
        <v>119972</v>
      </c>
      <c r="C25">
        <v>6589962</v>
      </c>
      <c r="D25">
        <v>655471</v>
      </c>
      <c r="E25" t="s">
        <v>32</v>
      </c>
      <c r="F25" t="s">
        <v>33</v>
      </c>
      <c r="G25" t="s">
        <v>60</v>
      </c>
      <c r="H25">
        <v>2019</v>
      </c>
      <c r="I25">
        <v>2</v>
      </c>
      <c r="J25">
        <v>25</v>
      </c>
      <c r="K25">
        <v>0.5</v>
      </c>
      <c r="L25">
        <v>4.7</v>
      </c>
      <c r="M25">
        <v>1.1000000000000001</v>
      </c>
      <c r="N25">
        <v>14.35</v>
      </c>
      <c r="O25">
        <v>7.66</v>
      </c>
      <c r="P25">
        <v>1</v>
      </c>
      <c r="Q25">
        <v>21</v>
      </c>
      <c r="R25">
        <v>5</v>
      </c>
      <c r="S25">
        <v>180</v>
      </c>
      <c r="T25">
        <v>519</v>
      </c>
      <c r="U25">
        <v>16</v>
      </c>
      <c r="V25">
        <v>22.9</v>
      </c>
      <c r="W25">
        <v>0.56000000000000005</v>
      </c>
      <c r="X25" t="s">
        <v>35</v>
      </c>
      <c r="Y25" t="s">
        <v>35</v>
      </c>
      <c r="Z25">
        <v>3.7999999999999999E-2</v>
      </c>
      <c r="AA25" s="6">
        <f t="shared" si="0"/>
        <v>1.2966185552939571</v>
      </c>
      <c r="AB25">
        <v>1.3</v>
      </c>
      <c r="AC25">
        <v>7.7</v>
      </c>
      <c r="AD25">
        <v>1.2</v>
      </c>
    </row>
    <row r="26" spans="1:31">
      <c r="A26" t="s">
        <v>31</v>
      </c>
      <c r="B26">
        <v>119972</v>
      </c>
      <c r="C26">
        <v>6589962</v>
      </c>
      <c r="D26">
        <v>655471</v>
      </c>
      <c r="E26" t="s">
        <v>32</v>
      </c>
      <c r="F26" t="s">
        <v>33</v>
      </c>
      <c r="G26" t="s">
        <v>61</v>
      </c>
      <c r="H26">
        <v>2019</v>
      </c>
      <c r="I26">
        <v>4</v>
      </c>
      <c r="J26">
        <v>24</v>
      </c>
      <c r="K26">
        <v>0.5</v>
      </c>
      <c r="L26">
        <v>3.3</v>
      </c>
      <c r="M26">
        <v>5.2</v>
      </c>
      <c r="N26">
        <v>16.190000000000001</v>
      </c>
      <c r="O26">
        <v>8.4600000000000009</v>
      </c>
      <c r="P26">
        <v>1.23</v>
      </c>
      <c r="Q26">
        <v>24.4</v>
      </c>
      <c r="R26">
        <v>8</v>
      </c>
      <c r="S26">
        <v>105</v>
      </c>
      <c r="T26">
        <v>607</v>
      </c>
      <c r="U26" t="s">
        <v>52</v>
      </c>
      <c r="V26">
        <v>22.7</v>
      </c>
      <c r="W26">
        <v>0.66</v>
      </c>
      <c r="X26" t="s">
        <v>35</v>
      </c>
      <c r="Y26" t="s">
        <v>35</v>
      </c>
      <c r="Z26">
        <v>4.3999999999999997E-2</v>
      </c>
      <c r="AA26" s="6">
        <f t="shared" si="0"/>
        <v>1.5013478008666872</v>
      </c>
      <c r="AB26">
        <v>1.7</v>
      </c>
      <c r="AC26">
        <v>8.9</v>
      </c>
      <c r="AD26">
        <v>22</v>
      </c>
    </row>
    <row r="27" spans="1:31">
      <c r="A27" t="s">
        <v>31</v>
      </c>
      <c r="B27">
        <v>119972</v>
      </c>
      <c r="C27">
        <v>6589962</v>
      </c>
      <c r="D27">
        <v>655471</v>
      </c>
      <c r="E27" t="s">
        <v>32</v>
      </c>
      <c r="F27" t="s">
        <v>33</v>
      </c>
      <c r="G27" t="s">
        <v>62</v>
      </c>
      <c r="H27">
        <v>2019</v>
      </c>
      <c r="I27">
        <v>5</v>
      </c>
      <c r="J27">
        <v>20</v>
      </c>
      <c r="K27">
        <v>0.5</v>
      </c>
      <c r="L27">
        <v>2.8</v>
      </c>
      <c r="M27">
        <v>11.5</v>
      </c>
      <c r="N27">
        <v>14.41</v>
      </c>
      <c r="O27">
        <v>8.58</v>
      </c>
      <c r="P27">
        <v>1.19</v>
      </c>
      <c r="Q27">
        <v>24</v>
      </c>
      <c r="R27">
        <v>11</v>
      </c>
      <c r="S27">
        <v>24</v>
      </c>
      <c r="T27">
        <v>508</v>
      </c>
      <c r="U27" t="s">
        <v>52</v>
      </c>
      <c r="V27">
        <v>14.3</v>
      </c>
      <c r="W27">
        <v>0.66</v>
      </c>
      <c r="X27" t="s">
        <v>35</v>
      </c>
      <c r="Y27" t="s">
        <v>35</v>
      </c>
      <c r="Z27">
        <v>4.3999999999999997E-2</v>
      </c>
      <c r="AA27" s="6">
        <f t="shared" si="0"/>
        <v>1.5013478008666872</v>
      </c>
      <c r="AB27">
        <v>1.2</v>
      </c>
      <c r="AC27">
        <v>8.6999999999999993</v>
      </c>
      <c r="AD27">
        <v>4.7</v>
      </c>
    </row>
    <row r="28" spans="1:31">
      <c r="A28" t="s">
        <v>31</v>
      </c>
      <c r="B28">
        <v>119972</v>
      </c>
      <c r="C28">
        <v>6589962</v>
      </c>
      <c r="D28">
        <v>655471</v>
      </c>
      <c r="E28" t="s">
        <v>32</v>
      </c>
      <c r="F28" t="s">
        <v>33</v>
      </c>
      <c r="G28" t="s">
        <v>63</v>
      </c>
      <c r="H28">
        <v>2019</v>
      </c>
      <c r="I28">
        <v>7</v>
      </c>
      <c r="J28">
        <v>17</v>
      </c>
      <c r="K28">
        <v>0.5</v>
      </c>
      <c r="L28">
        <v>3.3</v>
      </c>
      <c r="M28">
        <v>18.2</v>
      </c>
      <c r="N28">
        <v>10.94</v>
      </c>
      <c r="O28">
        <v>8.23</v>
      </c>
      <c r="P28">
        <v>1.18</v>
      </c>
      <c r="Q28">
        <v>23.5</v>
      </c>
      <c r="R28">
        <v>7</v>
      </c>
      <c r="S28">
        <v>1</v>
      </c>
      <c r="T28">
        <v>434</v>
      </c>
      <c r="U28" t="s">
        <v>52</v>
      </c>
      <c r="V28">
        <v>15.4</v>
      </c>
      <c r="W28">
        <v>0.52</v>
      </c>
      <c r="X28" t="s">
        <v>35</v>
      </c>
      <c r="Y28" t="s">
        <v>35</v>
      </c>
      <c r="Z28">
        <v>3.5000000000000003E-2</v>
      </c>
      <c r="AA28" s="6">
        <f t="shared" si="0"/>
        <v>1.1942539325075923</v>
      </c>
      <c r="AB28">
        <v>1.3</v>
      </c>
      <c r="AC28">
        <v>8.3000000000000007</v>
      </c>
      <c r="AD28">
        <v>5.7</v>
      </c>
    </row>
    <row r="29" spans="1:31">
      <c r="A29" t="s">
        <v>31</v>
      </c>
      <c r="B29">
        <v>119972</v>
      </c>
      <c r="C29">
        <v>6589962</v>
      </c>
      <c r="D29">
        <v>655471</v>
      </c>
      <c r="E29" t="s">
        <v>32</v>
      </c>
      <c r="F29" t="s">
        <v>33</v>
      </c>
      <c r="G29" t="s">
        <v>64</v>
      </c>
      <c r="H29">
        <v>2019</v>
      </c>
      <c r="I29">
        <v>8</v>
      </c>
      <c r="J29">
        <v>5</v>
      </c>
      <c r="K29">
        <v>0.5</v>
      </c>
      <c r="L29">
        <v>3.5</v>
      </c>
      <c r="M29">
        <v>20.100000000000001</v>
      </c>
      <c r="N29">
        <v>9.92</v>
      </c>
      <c r="O29">
        <v>7.99</v>
      </c>
      <c r="P29">
        <v>1.1499999999999999</v>
      </c>
      <c r="Q29">
        <v>23.3</v>
      </c>
      <c r="R29">
        <v>6</v>
      </c>
      <c r="S29">
        <v>1</v>
      </c>
      <c r="T29">
        <v>419</v>
      </c>
      <c r="U29" t="s">
        <v>52</v>
      </c>
      <c r="V29">
        <v>14</v>
      </c>
      <c r="W29">
        <v>0.5</v>
      </c>
      <c r="X29" s="8">
        <v>0.92900000000000005</v>
      </c>
      <c r="Y29" s="8">
        <v>0.10199999999999999</v>
      </c>
      <c r="Z29" s="8">
        <v>3.4000000000000002E-2</v>
      </c>
      <c r="AA29" s="6">
        <f t="shared" si="0"/>
        <v>1.1601323915788038</v>
      </c>
      <c r="AB29">
        <v>1.1000000000000001</v>
      </c>
      <c r="AC29">
        <v>8.1</v>
      </c>
      <c r="AD29">
        <v>6.8</v>
      </c>
      <c r="AE29" t="s">
        <v>65</v>
      </c>
    </row>
    <row r="30" spans="1:31">
      <c r="A30" t="s">
        <v>31</v>
      </c>
      <c r="B30">
        <v>119972</v>
      </c>
      <c r="C30">
        <v>6589962</v>
      </c>
      <c r="D30">
        <v>655471</v>
      </c>
      <c r="E30" t="s">
        <v>32</v>
      </c>
      <c r="F30" t="s">
        <v>33</v>
      </c>
      <c r="G30" t="s">
        <v>66</v>
      </c>
      <c r="H30">
        <v>2019</v>
      </c>
      <c r="I30">
        <v>9</v>
      </c>
      <c r="J30">
        <v>25</v>
      </c>
      <c r="K30">
        <v>0.5</v>
      </c>
      <c r="L30">
        <v>2.5</v>
      </c>
      <c r="M30">
        <v>14.5</v>
      </c>
      <c r="N30">
        <v>11.02</v>
      </c>
      <c r="O30">
        <v>8.1300000000000008</v>
      </c>
      <c r="P30">
        <v>1.1399999999999999</v>
      </c>
      <c r="Q30">
        <v>22.9</v>
      </c>
      <c r="R30">
        <v>5</v>
      </c>
      <c r="S30" t="s">
        <v>52</v>
      </c>
      <c r="T30">
        <v>453</v>
      </c>
      <c r="U30" t="s">
        <v>52</v>
      </c>
      <c r="V30">
        <v>15</v>
      </c>
      <c r="W30">
        <v>0.5</v>
      </c>
      <c r="X30" s="8" t="s">
        <v>35</v>
      </c>
      <c r="Y30" s="8" t="s">
        <v>35</v>
      </c>
      <c r="Z30">
        <v>3.4000000000000002E-2</v>
      </c>
      <c r="AA30" s="6">
        <f t="shared" si="0"/>
        <v>1.1601323915788038</v>
      </c>
      <c r="AB30">
        <v>1.1000000000000001</v>
      </c>
      <c r="AC30">
        <v>8.1</v>
      </c>
      <c r="AD30">
        <v>18</v>
      </c>
    </row>
    <row r="31" spans="1:31">
      <c r="A31" t="s">
        <v>31</v>
      </c>
      <c r="B31">
        <v>119972</v>
      </c>
      <c r="C31">
        <v>6589962</v>
      </c>
      <c r="D31">
        <v>655471</v>
      </c>
      <c r="E31" t="s">
        <v>32</v>
      </c>
      <c r="F31" t="s">
        <v>33</v>
      </c>
      <c r="G31" t="s">
        <v>67</v>
      </c>
      <c r="H31">
        <v>2020</v>
      </c>
      <c r="I31">
        <v>2</v>
      </c>
      <c r="J31">
        <v>24</v>
      </c>
      <c r="K31">
        <v>0.5</v>
      </c>
      <c r="L31">
        <v>2.5</v>
      </c>
      <c r="M31">
        <v>2.7</v>
      </c>
      <c r="N31">
        <v>14.56</v>
      </c>
      <c r="O31">
        <v>7.71</v>
      </c>
      <c r="P31">
        <v>0.99</v>
      </c>
      <c r="Q31">
        <v>21.6</v>
      </c>
      <c r="R31">
        <v>7</v>
      </c>
      <c r="S31">
        <v>267</v>
      </c>
      <c r="T31">
        <v>651</v>
      </c>
      <c r="U31">
        <v>16</v>
      </c>
      <c r="V31">
        <v>28.2</v>
      </c>
      <c r="W31">
        <v>0.68</v>
      </c>
      <c r="X31" s="8">
        <v>0.999</v>
      </c>
      <c r="Y31" s="8">
        <v>0.13</v>
      </c>
      <c r="Z31" s="8">
        <v>4.4999999999999998E-2</v>
      </c>
      <c r="AA31" s="6">
        <f t="shared" si="0"/>
        <v>1.5354693417954755</v>
      </c>
      <c r="AB31">
        <v>3.4</v>
      </c>
      <c r="AC31">
        <v>7.9</v>
      </c>
      <c r="AD31">
        <v>3.9</v>
      </c>
    </row>
    <row r="32" spans="1:31">
      <c r="A32" t="s">
        <v>31</v>
      </c>
      <c r="B32">
        <v>119972</v>
      </c>
      <c r="C32">
        <v>6589962</v>
      </c>
      <c r="D32">
        <v>655471</v>
      </c>
      <c r="E32" t="s">
        <v>32</v>
      </c>
      <c r="F32" t="s">
        <v>33</v>
      </c>
      <c r="G32" t="s">
        <v>68</v>
      </c>
      <c r="H32">
        <v>2020</v>
      </c>
      <c r="I32">
        <v>4</v>
      </c>
      <c r="J32">
        <v>22</v>
      </c>
      <c r="K32">
        <v>0.5</v>
      </c>
      <c r="L32">
        <v>2.4</v>
      </c>
      <c r="M32">
        <v>6.3</v>
      </c>
      <c r="N32">
        <v>17.36</v>
      </c>
      <c r="O32">
        <v>8.81</v>
      </c>
      <c r="P32">
        <v>1.0900000000000001</v>
      </c>
      <c r="Q32">
        <v>22.8</v>
      </c>
      <c r="R32">
        <v>10</v>
      </c>
      <c r="S32">
        <v>122</v>
      </c>
      <c r="T32">
        <v>599</v>
      </c>
      <c r="U32" t="s">
        <v>52</v>
      </c>
      <c r="V32">
        <v>19.3</v>
      </c>
      <c r="W32">
        <v>0.8</v>
      </c>
      <c r="X32" s="8">
        <v>1.046</v>
      </c>
      <c r="Y32" s="8">
        <v>0.14699999999999999</v>
      </c>
      <c r="Z32" s="8">
        <v>5.1999999999999998E-2</v>
      </c>
      <c r="AA32" s="6">
        <f t="shared" si="0"/>
        <v>1.7743201282969938</v>
      </c>
      <c r="AB32">
        <v>2.9</v>
      </c>
      <c r="AC32">
        <v>8.9</v>
      </c>
      <c r="AD32">
        <v>33</v>
      </c>
    </row>
    <row r="33" spans="1:31">
      <c r="A33" t="s">
        <v>31</v>
      </c>
      <c r="B33">
        <v>119972</v>
      </c>
      <c r="C33">
        <v>6589962</v>
      </c>
      <c r="D33">
        <v>655471</v>
      </c>
      <c r="E33" t="s">
        <v>32</v>
      </c>
      <c r="F33" t="s">
        <v>33</v>
      </c>
      <c r="G33" t="s">
        <v>69</v>
      </c>
      <c r="H33">
        <v>2020</v>
      </c>
      <c r="I33">
        <v>5</v>
      </c>
      <c r="J33">
        <v>25</v>
      </c>
      <c r="K33">
        <v>0.5</v>
      </c>
      <c r="L33">
        <v>2.8</v>
      </c>
      <c r="M33">
        <v>11.6</v>
      </c>
      <c r="N33">
        <v>12.41</v>
      </c>
      <c r="O33">
        <v>8.5299999999999994</v>
      </c>
      <c r="P33">
        <v>1.0900000000000001</v>
      </c>
      <c r="Q33">
        <v>23.1</v>
      </c>
      <c r="R33">
        <v>11</v>
      </c>
      <c r="S33">
        <v>74</v>
      </c>
      <c r="T33">
        <v>525</v>
      </c>
      <c r="U33">
        <v>1</v>
      </c>
      <c r="V33">
        <v>17.600000000000001</v>
      </c>
      <c r="W33">
        <v>0.62</v>
      </c>
      <c r="X33" s="8">
        <v>0.999</v>
      </c>
      <c r="Y33" s="8">
        <v>0.125</v>
      </c>
      <c r="Z33" s="8">
        <v>4.2000000000000003E-2</v>
      </c>
      <c r="AA33" s="6">
        <f t="shared" si="0"/>
        <v>1.4331047190091106</v>
      </c>
      <c r="AB33">
        <v>1.6</v>
      </c>
      <c r="AC33">
        <v>8.4</v>
      </c>
      <c r="AD33">
        <v>5.6</v>
      </c>
    </row>
    <row r="34" spans="1:31">
      <c r="A34" t="s">
        <v>31</v>
      </c>
      <c r="B34">
        <v>119972</v>
      </c>
      <c r="C34">
        <v>6589962</v>
      </c>
      <c r="D34">
        <v>655471</v>
      </c>
      <c r="E34" t="s">
        <v>32</v>
      </c>
      <c r="F34" t="s">
        <v>33</v>
      </c>
      <c r="G34" t="s">
        <v>70</v>
      </c>
      <c r="H34">
        <v>2020</v>
      </c>
      <c r="I34">
        <v>7</v>
      </c>
      <c r="J34">
        <v>22</v>
      </c>
      <c r="K34">
        <v>0.5</v>
      </c>
      <c r="L34">
        <v>4</v>
      </c>
      <c r="M34">
        <v>20.100000000000001</v>
      </c>
      <c r="N34">
        <v>9.24</v>
      </c>
      <c r="O34">
        <v>8.14</v>
      </c>
      <c r="P34">
        <v>1.1299999999999999</v>
      </c>
      <c r="Q34">
        <v>23.4</v>
      </c>
      <c r="R34">
        <v>18</v>
      </c>
      <c r="S34">
        <v>8</v>
      </c>
      <c r="T34">
        <v>486</v>
      </c>
      <c r="U34">
        <v>5</v>
      </c>
      <c r="V34">
        <v>18.100000000000001</v>
      </c>
      <c r="W34">
        <v>0.64</v>
      </c>
      <c r="X34" s="8">
        <v>1.0009999999999999</v>
      </c>
      <c r="Y34" s="8">
        <v>0.11799999999999999</v>
      </c>
      <c r="Z34" s="8">
        <v>4.2000000000000003E-2</v>
      </c>
      <c r="AA34" s="6">
        <f t="shared" si="0"/>
        <v>1.4331047190091106</v>
      </c>
      <c r="AB34">
        <v>1.3</v>
      </c>
      <c r="AC34">
        <v>8.6</v>
      </c>
      <c r="AD34">
        <v>5.0999999999999996</v>
      </c>
    </row>
    <row r="35" spans="1:31">
      <c r="A35" t="s">
        <v>31</v>
      </c>
      <c r="B35">
        <v>119972</v>
      </c>
      <c r="C35">
        <v>6589962</v>
      </c>
      <c r="D35">
        <v>655471</v>
      </c>
      <c r="E35" t="s">
        <v>32</v>
      </c>
      <c r="F35" t="s">
        <v>33</v>
      </c>
      <c r="G35" t="s">
        <v>71</v>
      </c>
      <c r="H35">
        <v>2020</v>
      </c>
      <c r="I35">
        <v>8</v>
      </c>
      <c r="J35">
        <v>18</v>
      </c>
      <c r="K35">
        <v>0.5</v>
      </c>
      <c r="L35">
        <v>3.9</v>
      </c>
      <c r="M35">
        <v>22.3</v>
      </c>
      <c r="N35">
        <v>9.91</v>
      </c>
      <c r="O35">
        <v>8.51</v>
      </c>
      <c r="P35">
        <v>1.07</v>
      </c>
      <c r="Q35">
        <v>22.7</v>
      </c>
      <c r="R35">
        <v>6</v>
      </c>
      <c r="S35" t="s">
        <v>52</v>
      </c>
      <c r="T35">
        <v>589</v>
      </c>
      <c r="U35" t="s">
        <v>52</v>
      </c>
      <c r="V35">
        <v>14.8</v>
      </c>
      <c r="W35">
        <v>0.5</v>
      </c>
      <c r="X35" s="8">
        <v>0.93600000000000005</v>
      </c>
      <c r="Y35" s="8">
        <v>0.104</v>
      </c>
      <c r="Z35" s="8">
        <v>3.4000000000000002E-2</v>
      </c>
      <c r="AA35" s="6">
        <f t="shared" si="0"/>
        <v>1.1601323915788038</v>
      </c>
      <c r="AB35">
        <v>1.1000000000000001</v>
      </c>
      <c r="AC35">
        <v>8.4</v>
      </c>
      <c r="AD35">
        <v>4.7</v>
      </c>
    </row>
    <row r="36" spans="1:31">
      <c r="A36" t="s">
        <v>31</v>
      </c>
      <c r="B36">
        <v>119972</v>
      </c>
      <c r="C36">
        <v>6589962</v>
      </c>
      <c r="D36">
        <v>655471</v>
      </c>
      <c r="E36" t="s">
        <v>32</v>
      </c>
      <c r="F36" t="s">
        <v>33</v>
      </c>
      <c r="G36" t="s">
        <v>72</v>
      </c>
      <c r="H36">
        <v>2020</v>
      </c>
      <c r="I36">
        <v>9</v>
      </c>
      <c r="J36">
        <v>15</v>
      </c>
      <c r="K36">
        <v>0.5</v>
      </c>
      <c r="L36">
        <v>2.8</v>
      </c>
      <c r="M36">
        <v>16</v>
      </c>
      <c r="N36">
        <v>9.7100000000000009</v>
      </c>
      <c r="O36">
        <v>8.17</v>
      </c>
      <c r="P36">
        <v>1.1200000000000001</v>
      </c>
      <c r="Q36">
        <v>23.4</v>
      </c>
      <c r="R36">
        <v>7</v>
      </c>
      <c r="S36" t="s">
        <v>52</v>
      </c>
      <c r="T36">
        <v>522</v>
      </c>
      <c r="U36" t="s">
        <v>52</v>
      </c>
      <c r="V36">
        <v>25.2</v>
      </c>
      <c r="W36">
        <v>0.52</v>
      </c>
      <c r="X36" s="8">
        <v>0.95699999999999996</v>
      </c>
      <c r="Y36" s="8">
        <v>0.108</v>
      </c>
      <c r="Z36" s="8">
        <v>3.5000000000000003E-2</v>
      </c>
      <c r="AA36" s="6">
        <f t="shared" si="0"/>
        <v>1.1942539325075923</v>
      </c>
      <c r="AB36">
        <v>1.2</v>
      </c>
      <c r="AC36">
        <v>8.8000000000000007</v>
      </c>
      <c r="AD36">
        <v>18</v>
      </c>
      <c r="AE36" t="s">
        <v>35</v>
      </c>
    </row>
    <row r="37" spans="1:31">
      <c r="A37" t="s">
        <v>31</v>
      </c>
      <c r="B37">
        <v>119972</v>
      </c>
      <c r="C37">
        <v>6589962</v>
      </c>
      <c r="D37">
        <v>655471</v>
      </c>
      <c r="E37" t="s">
        <v>32</v>
      </c>
      <c r="F37" t="s">
        <v>33</v>
      </c>
      <c r="G37" t="s">
        <v>73</v>
      </c>
      <c r="H37">
        <v>2021</v>
      </c>
      <c r="I37">
        <v>2</v>
      </c>
      <c r="J37">
        <v>17</v>
      </c>
      <c r="K37">
        <v>0.5</v>
      </c>
      <c r="L37" t="s">
        <v>35</v>
      </c>
      <c r="M37">
        <v>0.7</v>
      </c>
      <c r="N37">
        <v>13.13</v>
      </c>
      <c r="O37">
        <v>7.61</v>
      </c>
      <c r="P37">
        <v>0.95</v>
      </c>
      <c r="Q37">
        <v>21.2</v>
      </c>
      <c r="R37" t="s">
        <v>49</v>
      </c>
      <c r="S37">
        <v>240</v>
      </c>
      <c r="T37">
        <v>600</v>
      </c>
      <c r="U37">
        <v>18</v>
      </c>
      <c r="V37">
        <v>29</v>
      </c>
      <c r="W37">
        <v>0.64</v>
      </c>
      <c r="X37" s="8">
        <v>0.999</v>
      </c>
      <c r="Y37" s="8">
        <v>0.124</v>
      </c>
      <c r="Z37" s="8">
        <v>4.2999999999999997E-2</v>
      </c>
      <c r="AA37" s="6">
        <f t="shared" si="0"/>
        <v>1.4672262599378987</v>
      </c>
      <c r="AB37">
        <v>2.2999999999999998</v>
      </c>
      <c r="AC37">
        <v>8.8000000000000007</v>
      </c>
      <c r="AD37">
        <v>2.1</v>
      </c>
      <c r="AE37" t="s">
        <v>35</v>
      </c>
    </row>
    <row r="38" spans="1:31">
      <c r="A38" t="s">
        <v>31</v>
      </c>
      <c r="B38">
        <v>119972</v>
      </c>
      <c r="C38">
        <v>6589962</v>
      </c>
      <c r="D38">
        <v>655471</v>
      </c>
      <c r="E38" t="s">
        <v>32</v>
      </c>
      <c r="F38" t="s">
        <v>33</v>
      </c>
      <c r="G38" t="s">
        <v>74</v>
      </c>
      <c r="H38">
        <v>2021</v>
      </c>
      <c r="I38">
        <v>4</v>
      </c>
      <c r="J38">
        <v>21</v>
      </c>
      <c r="K38">
        <v>0.5</v>
      </c>
      <c r="L38" t="s">
        <v>35</v>
      </c>
      <c r="M38">
        <v>5.4</v>
      </c>
      <c r="N38">
        <v>14.5</v>
      </c>
      <c r="O38">
        <v>8.5</v>
      </c>
      <c r="P38">
        <v>1.1599999999999999</v>
      </c>
      <c r="Q38">
        <v>24.4</v>
      </c>
      <c r="R38">
        <v>3</v>
      </c>
      <c r="S38">
        <v>173</v>
      </c>
      <c r="T38">
        <v>669</v>
      </c>
      <c r="U38">
        <v>2</v>
      </c>
      <c r="V38">
        <v>25.5</v>
      </c>
      <c r="W38">
        <v>0.76</v>
      </c>
      <c r="X38" s="8">
        <v>1.119</v>
      </c>
      <c r="Y38" s="8">
        <v>0.15</v>
      </c>
      <c r="Z38" s="8">
        <v>5.1999999999999998E-2</v>
      </c>
      <c r="AA38" s="6">
        <f t="shared" si="0"/>
        <v>1.7743201282969938</v>
      </c>
      <c r="AB38">
        <v>2.2000000000000002</v>
      </c>
      <c r="AC38">
        <v>9.4</v>
      </c>
      <c r="AD38">
        <v>20</v>
      </c>
    </row>
    <row r="39" spans="1:31">
      <c r="A39" t="s">
        <v>31</v>
      </c>
      <c r="B39">
        <v>119972</v>
      </c>
      <c r="C39">
        <v>6589962</v>
      </c>
      <c r="D39">
        <v>655471</v>
      </c>
      <c r="E39" t="s">
        <v>32</v>
      </c>
      <c r="F39" t="s">
        <v>33</v>
      </c>
      <c r="G39" t="s">
        <v>75</v>
      </c>
      <c r="H39">
        <v>2021</v>
      </c>
      <c r="I39">
        <v>5</v>
      </c>
      <c r="J39">
        <v>18</v>
      </c>
      <c r="K39">
        <v>0.5</v>
      </c>
      <c r="L39">
        <v>2.5</v>
      </c>
      <c r="M39">
        <v>8.9</v>
      </c>
      <c r="N39">
        <v>13.78</v>
      </c>
      <c r="O39">
        <v>8.4600000000000009</v>
      </c>
      <c r="P39">
        <v>1.1599999999999999</v>
      </c>
      <c r="Q39">
        <v>24.5</v>
      </c>
      <c r="R39">
        <v>7</v>
      </c>
      <c r="S39">
        <v>125</v>
      </c>
      <c r="T39">
        <v>572</v>
      </c>
      <c r="U39" t="s">
        <v>52</v>
      </c>
      <c r="V39">
        <v>13</v>
      </c>
      <c r="W39">
        <v>0.7</v>
      </c>
      <c r="X39" s="8">
        <v>1.0449999999999999</v>
      </c>
      <c r="Y39" s="8">
        <v>0.13600000000000001</v>
      </c>
      <c r="Z39" s="8">
        <v>4.5999999999999999E-2</v>
      </c>
      <c r="AA39" s="6">
        <f t="shared" si="0"/>
        <v>1.5695908827242637</v>
      </c>
      <c r="AB39">
        <v>1.5</v>
      </c>
      <c r="AC39">
        <v>9</v>
      </c>
      <c r="AD39">
        <v>9.6</v>
      </c>
    </row>
    <row r="40" spans="1:31">
      <c r="A40" t="s">
        <v>31</v>
      </c>
      <c r="B40">
        <v>119972</v>
      </c>
      <c r="C40">
        <v>6589962</v>
      </c>
      <c r="D40">
        <v>655471</v>
      </c>
      <c r="E40" t="s">
        <v>32</v>
      </c>
      <c r="F40" t="s">
        <v>33</v>
      </c>
      <c r="G40" t="s">
        <v>76</v>
      </c>
      <c r="H40">
        <v>2021</v>
      </c>
      <c r="I40">
        <v>7</v>
      </c>
      <c r="J40">
        <v>21</v>
      </c>
      <c r="K40">
        <v>0.5</v>
      </c>
      <c r="L40">
        <v>2.7</v>
      </c>
      <c r="M40">
        <v>22.2</v>
      </c>
      <c r="N40">
        <v>9.3699999999999992</v>
      </c>
      <c r="O40">
        <v>8.33</v>
      </c>
      <c r="P40">
        <v>1.24</v>
      </c>
      <c r="Q40">
        <v>25.4</v>
      </c>
      <c r="R40">
        <v>7</v>
      </c>
      <c r="S40">
        <v>15</v>
      </c>
      <c r="T40">
        <v>515</v>
      </c>
      <c r="U40" t="s">
        <v>52</v>
      </c>
      <c r="V40">
        <v>21.3</v>
      </c>
      <c r="W40">
        <v>0.7</v>
      </c>
      <c r="X40" s="8">
        <v>1.1020000000000001</v>
      </c>
      <c r="Y40" s="8">
        <v>0.13600000000000001</v>
      </c>
      <c r="Z40" s="8">
        <v>4.5999999999999999E-2</v>
      </c>
      <c r="AA40" s="6">
        <f t="shared" si="0"/>
        <v>1.5695908827242637</v>
      </c>
      <c r="AB40">
        <v>1.6</v>
      </c>
      <c r="AC40">
        <v>9.3000000000000007</v>
      </c>
      <c r="AD40">
        <v>10</v>
      </c>
    </row>
    <row r="41" spans="1:31">
      <c r="A41" t="s">
        <v>31</v>
      </c>
      <c r="B41">
        <v>119972</v>
      </c>
      <c r="C41">
        <v>6589962</v>
      </c>
      <c r="D41">
        <v>655471</v>
      </c>
      <c r="E41" t="s">
        <v>32</v>
      </c>
      <c r="F41" t="s">
        <v>33</v>
      </c>
      <c r="G41" t="s">
        <v>77</v>
      </c>
      <c r="H41">
        <v>2021</v>
      </c>
      <c r="I41">
        <v>8</v>
      </c>
      <c r="J41">
        <v>16</v>
      </c>
      <c r="K41">
        <v>0.5</v>
      </c>
      <c r="L41">
        <v>2.2999999999999998</v>
      </c>
      <c r="M41">
        <v>19.3</v>
      </c>
      <c r="N41">
        <v>9.2100000000000009</v>
      </c>
      <c r="O41">
        <v>7.98</v>
      </c>
      <c r="P41">
        <v>1.18</v>
      </c>
      <c r="Q41">
        <v>24.5</v>
      </c>
      <c r="R41">
        <v>5</v>
      </c>
      <c r="S41" t="s">
        <v>52</v>
      </c>
      <c r="T41">
        <v>463</v>
      </c>
      <c r="U41" t="s">
        <v>52</v>
      </c>
      <c r="V41">
        <v>18.8</v>
      </c>
      <c r="W41">
        <v>0.62</v>
      </c>
      <c r="X41" s="8">
        <v>1.0249999999999999</v>
      </c>
      <c r="Y41" s="8">
        <v>0.123</v>
      </c>
      <c r="Z41" s="8">
        <v>4.2000000000000003E-2</v>
      </c>
      <c r="AA41" s="6">
        <f t="shared" si="0"/>
        <v>1.4331047190091106</v>
      </c>
      <c r="AB41">
        <v>2</v>
      </c>
      <c r="AC41">
        <v>9.1</v>
      </c>
      <c r="AD41">
        <v>11</v>
      </c>
    </row>
    <row r="42" spans="1:31">
      <c r="A42" t="s">
        <v>31</v>
      </c>
      <c r="B42">
        <v>119972</v>
      </c>
      <c r="C42">
        <v>6589962</v>
      </c>
      <c r="D42">
        <v>655471</v>
      </c>
      <c r="E42" t="s">
        <v>32</v>
      </c>
      <c r="F42" t="s">
        <v>33</v>
      </c>
      <c r="G42" t="s">
        <v>78</v>
      </c>
      <c r="H42">
        <v>2021</v>
      </c>
      <c r="I42">
        <v>9</v>
      </c>
      <c r="J42">
        <v>8</v>
      </c>
      <c r="K42">
        <v>0.5</v>
      </c>
      <c r="L42">
        <v>2.5</v>
      </c>
      <c r="M42">
        <v>15.8</v>
      </c>
      <c r="N42">
        <v>10.19</v>
      </c>
      <c r="O42">
        <v>8.06</v>
      </c>
      <c r="P42">
        <v>1.17</v>
      </c>
      <c r="Q42">
        <v>24.3</v>
      </c>
      <c r="R42">
        <v>5</v>
      </c>
      <c r="S42">
        <v>2</v>
      </c>
      <c r="T42">
        <v>442</v>
      </c>
      <c r="U42" t="s">
        <v>52</v>
      </c>
      <c r="V42">
        <v>17.5</v>
      </c>
      <c r="W42">
        <v>0.57999999999999996</v>
      </c>
      <c r="X42" s="8">
        <v>1.01</v>
      </c>
      <c r="Y42" s="8">
        <v>0.123</v>
      </c>
      <c r="Z42" s="8">
        <v>0.04</v>
      </c>
      <c r="AA42" s="6">
        <f t="shared" si="0"/>
        <v>1.3648616371515339</v>
      </c>
      <c r="AB42">
        <v>1.9</v>
      </c>
      <c r="AC42">
        <v>9.1</v>
      </c>
      <c r="AD42">
        <v>18</v>
      </c>
    </row>
    <row r="43" spans="1:31">
      <c r="A43" t="s">
        <v>31</v>
      </c>
      <c r="B43">
        <v>119972</v>
      </c>
      <c r="C43">
        <v>6589962</v>
      </c>
      <c r="D43">
        <v>655471</v>
      </c>
      <c r="E43" t="s">
        <v>32</v>
      </c>
      <c r="F43" t="s">
        <v>33</v>
      </c>
      <c r="G43" t="s">
        <v>79</v>
      </c>
      <c r="H43">
        <v>2022</v>
      </c>
      <c r="I43">
        <v>2</v>
      </c>
      <c r="J43">
        <v>15</v>
      </c>
      <c r="K43">
        <v>0.5</v>
      </c>
      <c r="L43" t="s">
        <v>35</v>
      </c>
      <c r="M43">
        <v>0.6</v>
      </c>
      <c r="N43">
        <v>13.94</v>
      </c>
      <c r="O43">
        <v>7.49</v>
      </c>
      <c r="P43">
        <v>0.94799999999999995</v>
      </c>
      <c r="Q43">
        <v>21</v>
      </c>
      <c r="R43">
        <v>5</v>
      </c>
      <c r="S43">
        <v>215</v>
      </c>
      <c r="T43">
        <v>608</v>
      </c>
      <c r="U43">
        <v>16</v>
      </c>
      <c r="V43">
        <v>22.7</v>
      </c>
      <c r="W43">
        <v>0.64</v>
      </c>
      <c r="X43" s="8">
        <v>0.98499999999999999</v>
      </c>
      <c r="Y43" s="8">
        <v>0.125</v>
      </c>
      <c r="Z43" s="8">
        <v>4.2000000000000003E-2</v>
      </c>
      <c r="AA43" s="6">
        <f t="shared" si="0"/>
        <v>1.4331047190091106</v>
      </c>
      <c r="AB43">
        <v>1.5</v>
      </c>
      <c r="AC43">
        <v>8.3000000000000007</v>
      </c>
      <c r="AD43">
        <v>2</v>
      </c>
    </row>
    <row r="44" spans="1:31">
      <c r="A44" t="s">
        <v>31</v>
      </c>
      <c r="B44">
        <v>119972</v>
      </c>
      <c r="C44">
        <v>6589962</v>
      </c>
      <c r="D44">
        <v>655471</v>
      </c>
      <c r="E44" t="s">
        <v>32</v>
      </c>
      <c r="F44" t="s">
        <v>33</v>
      </c>
      <c r="G44" t="s">
        <v>80</v>
      </c>
      <c r="H44">
        <v>2022</v>
      </c>
      <c r="I44">
        <v>4</v>
      </c>
      <c r="J44">
        <v>27</v>
      </c>
      <c r="K44">
        <v>0.5</v>
      </c>
      <c r="L44">
        <v>3.4</v>
      </c>
      <c r="M44">
        <v>5.0999999999999996</v>
      </c>
      <c r="N44">
        <v>13.35</v>
      </c>
      <c r="O44">
        <v>8.5399999999999991</v>
      </c>
      <c r="P44">
        <v>1.21</v>
      </c>
      <c r="Q44">
        <v>24.9</v>
      </c>
      <c r="R44">
        <v>8</v>
      </c>
      <c r="S44">
        <v>101</v>
      </c>
      <c r="T44">
        <v>506</v>
      </c>
      <c r="U44" t="s">
        <v>52</v>
      </c>
      <c r="V44">
        <v>17.3</v>
      </c>
      <c r="W44">
        <v>0.72</v>
      </c>
      <c r="X44" s="8">
        <v>1.1359999999999999</v>
      </c>
      <c r="Y44" s="8">
        <v>0.14599999999999999</v>
      </c>
      <c r="Z44" s="8">
        <v>4.9000000000000002E-2</v>
      </c>
      <c r="AA44" s="6">
        <f t="shared" si="0"/>
        <v>1.671955505510629</v>
      </c>
      <c r="AB44">
        <v>1.6</v>
      </c>
      <c r="AC44">
        <v>8.6999999999999993</v>
      </c>
      <c r="AD44">
        <v>17</v>
      </c>
    </row>
    <row r="45" spans="1:31">
      <c r="A45" t="s">
        <v>31</v>
      </c>
      <c r="B45">
        <v>119972</v>
      </c>
      <c r="C45">
        <v>6589962</v>
      </c>
      <c r="D45">
        <v>655471</v>
      </c>
      <c r="E45" t="s">
        <v>32</v>
      </c>
      <c r="F45" t="s">
        <v>33</v>
      </c>
      <c r="G45" t="s">
        <v>81</v>
      </c>
      <c r="H45">
        <v>2022</v>
      </c>
      <c r="I45">
        <v>5</v>
      </c>
      <c r="J45">
        <v>12</v>
      </c>
      <c r="K45">
        <v>0.5</v>
      </c>
      <c r="L45">
        <v>2.2000000000000002</v>
      </c>
      <c r="M45">
        <v>8.6999999999999993</v>
      </c>
      <c r="N45">
        <v>10.55</v>
      </c>
      <c r="O45">
        <v>8.6</v>
      </c>
      <c r="P45">
        <v>1.25</v>
      </c>
      <c r="Q45">
        <v>25.5</v>
      </c>
      <c r="R45">
        <v>14</v>
      </c>
      <c r="S45">
        <v>55</v>
      </c>
      <c r="T45">
        <v>535</v>
      </c>
      <c r="U45" t="s">
        <v>52</v>
      </c>
      <c r="V45">
        <v>15.9</v>
      </c>
      <c r="W45">
        <v>0.74</v>
      </c>
      <c r="X45" s="8">
        <v>1.129</v>
      </c>
      <c r="Y45" s="8">
        <v>0.14699999999999999</v>
      </c>
      <c r="Z45" s="8">
        <v>0.05</v>
      </c>
      <c r="AA45" s="6">
        <f t="shared" si="0"/>
        <v>1.7060770464394173</v>
      </c>
      <c r="AB45">
        <v>2.1</v>
      </c>
      <c r="AC45">
        <v>9.6999999999999993</v>
      </c>
      <c r="AD45">
        <v>13</v>
      </c>
    </row>
    <row r="46" spans="1:31">
      <c r="A46" t="s">
        <v>31</v>
      </c>
      <c r="B46">
        <v>119972</v>
      </c>
      <c r="C46">
        <v>6589962</v>
      </c>
      <c r="D46">
        <v>655471</v>
      </c>
      <c r="E46" t="s">
        <v>32</v>
      </c>
      <c r="F46" t="s">
        <v>33</v>
      </c>
      <c r="G46" t="s">
        <v>82</v>
      </c>
      <c r="H46">
        <v>2022</v>
      </c>
      <c r="I46">
        <v>7</v>
      </c>
      <c r="J46">
        <v>20</v>
      </c>
      <c r="K46">
        <v>0.5</v>
      </c>
      <c r="L46">
        <v>4</v>
      </c>
      <c r="M46">
        <v>20.2</v>
      </c>
      <c r="N46">
        <v>8.6199999999999992</v>
      </c>
      <c r="O46">
        <v>8.09</v>
      </c>
      <c r="P46">
        <v>1.1499999999999999</v>
      </c>
      <c r="Q46">
        <v>24.1</v>
      </c>
      <c r="R46">
        <v>6</v>
      </c>
      <c r="S46" t="s">
        <v>52</v>
      </c>
      <c r="T46">
        <v>464</v>
      </c>
      <c r="U46" t="s">
        <v>52</v>
      </c>
      <c r="V46">
        <v>13.3</v>
      </c>
      <c r="W46">
        <v>0.56000000000000005</v>
      </c>
      <c r="X46" s="8">
        <v>1.024</v>
      </c>
      <c r="Y46" s="8">
        <v>0.11899999999999999</v>
      </c>
      <c r="Z46" s="8">
        <v>3.7999999999999999E-2</v>
      </c>
      <c r="AA46" s="6">
        <f t="shared" si="0"/>
        <v>1.2966185552939571</v>
      </c>
      <c r="AB46">
        <v>1.2</v>
      </c>
      <c r="AC46">
        <v>9.3000000000000007</v>
      </c>
      <c r="AD46">
        <v>4.8</v>
      </c>
    </row>
    <row r="47" spans="1:31">
      <c r="A47" t="s">
        <v>31</v>
      </c>
      <c r="B47">
        <v>119972</v>
      </c>
      <c r="C47">
        <v>6589962</v>
      </c>
      <c r="D47">
        <v>655471</v>
      </c>
      <c r="E47" t="s">
        <v>32</v>
      </c>
      <c r="F47" t="s">
        <v>33</v>
      </c>
      <c r="G47" t="s">
        <v>83</v>
      </c>
      <c r="H47">
        <v>2022</v>
      </c>
      <c r="I47">
        <v>8</v>
      </c>
      <c r="J47">
        <v>23</v>
      </c>
      <c r="K47">
        <v>0.5</v>
      </c>
      <c r="L47">
        <v>3.2</v>
      </c>
      <c r="M47">
        <v>21.6</v>
      </c>
      <c r="N47">
        <v>9.24</v>
      </c>
      <c r="O47">
        <v>7.94</v>
      </c>
      <c r="P47">
        <v>1.1499999999999999</v>
      </c>
      <c r="Q47">
        <v>23.9</v>
      </c>
      <c r="R47">
        <v>5</v>
      </c>
      <c r="S47" t="s">
        <v>52</v>
      </c>
      <c r="T47">
        <v>427</v>
      </c>
      <c r="U47" t="s">
        <v>52</v>
      </c>
      <c r="V47">
        <v>13.7</v>
      </c>
      <c r="W47">
        <v>0.62</v>
      </c>
      <c r="X47" s="8">
        <v>1.0129999999999999</v>
      </c>
      <c r="Y47" s="8">
        <v>0.12</v>
      </c>
      <c r="Z47" s="8">
        <v>4.1000000000000002E-2</v>
      </c>
      <c r="AA47" s="6">
        <f t="shared" si="0"/>
        <v>1.3989831780803221</v>
      </c>
      <c r="AB47">
        <v>1.3</v>
      </c>
      <c r="AC47">
        <v>8.6</v>
      </c>
      <c r="AD47">
        <v>5.6</v>
      </c>
      <c r="AE47" t="s">
        <v>35</v>
      </c>
    </row>
    <row r="48" spans="1:31">
      <c r="A48" t="s">
        <v>31</v>
      </c>
      <c r="B48">
        <v>119972</v>
      </c>
      <c r="C48">
        <v>6589962</v>
      </c>
      <c r="D48">
        <v>655471</v>
      </c>
      <c r="E48" t="s">
        <v>32</v>
      </c>
      <c r="F48" t="s">
        <v>33</v>
      </c>
      <c r="G48" t="s">
        <v>84</v>
      </c>
      <c r="H48">
        <v>2022</v>
      </c>
      <c r="I48">
        <v>9</v>
      </c>
      <c r="J48">
        <v>14</v>
      </c>
      <c r="K48">
        <v>0.5</v>
      </c>
      <c r="L48">
        <v>3</v>
      </c>
      <c r="M48">
        <v>16.3</v>
      </c>
      <c r="N48">
        <v>8.7100000000000009</v>
      </c>
      <c r="O48">
        <v>7.91</v>
      </c>
      <c r="P48">
        <v>1.17</v>
      </c>
      <c r="Q48">
        <v>24.4</v>
      </c>
      <c r="R48">
        <v>5</v>
      </c>
      <c r="S48">
        <v>3</v>
      </c>
      <c r="T48">
        <v>414</v>
      </c>
      <c r="U48" t="s">
        <v>52</v>
      </c>
      <c r="V48">
        <v>13.4</v>
      </c>
      <c r="W48">
        <v>0.56000000000000005</v>
      </c>
      <c r="X48" s="8">
        <v>0.999</v>
      </c>
      <c r="Y48" s="8">
        <v>0.114</v>
      </c>
      <c r="Z48" s="8">
        <v>3.7999999999999999E-2</v>
      </c>
      <c r="AA48" s="6">
        <f t="shared" si="0"/>
        <v>1.2966185552939571</v>
      </c>
      <c r="AB48">
        <v>1</v>
      </c>
      <c r="AC48">
        <v>8.6</v>
      </c>
      <c r="AD48">
        <v>13</v>
      </c>
    </row>
    <row r="49" spans="1:31">
      <c r="A49" t="s">
        <v>31</v>
      </c>
      <c r="B49">
        <v>119972</v>
      </c>
      <c r="C49">
        <v>6589962</v>
      </c>
      <c r="D49">
        <v>655471</v>
      </c>
      <c r="E49" t="s">
        <v>32</v>
      </c>
      <c r="F49" t="s">
        <v>33</v>
      </c>
      <c r="G49" t="s">
        <v>85</v>
      </c>
      <c r="H49">
        <v>2023</v>
      </c>
      <c r="I49">
        <v>2</v>
      </c>
      <c r="J49">
        <v>7</v>
      </c>
      <c r="K49">
        <v>0.5</v>
      </c>
      <c r="L49" t="s">
        <v>35</v>
      </c>
      <c r="M49">
        <v>0.6</v>
      </c>
      <c r="N49">
        <v>14.27</v>
      </c>
      <c r="O49">
        <v>7.64</v>
      </c>
      <c r="P49">
        <v>0.92900000000000005</v>
      </c>
      <c r="Q49">
        <v>20.8</v>
      </c>
      <c r="R49">
        <v>4</v>
      </c>
      <c r="S49">
        <v>192</v>
      </c>
      <c r="T49">
        <v>518</v>
      </c>
      <c r="U49">
        <v>18</v>
      </c>
      <c r="V49">
        <v>25.9</v>
      </c>
      <c r="W49">
        <v>0.64</v>
      </c>
      <c r="X49" s="8">
        <v>0.99</v>
      </c>
      <c r="Y49" s="8">
        <v>0.123</v>
      </c>
      <c r="Z49" s="8">
        <v>4.2000000000000003E-2</v>
      </c>
      <c r="AA49" s="6">
        <f t="shared" si="0"/>
        <v>1.4331047190091106</v>
      </c>
      <c r="AB49">
        <v>1.3</v>
      </c>
      <c r="AC49">
        <v>8</v>
      </c>
      <c r="AD49">
        <v>3.5</v>
      </c>
      <c r="AE49" t="s">
        <v>86</v>
      </c>
    </row>
    <row r="50" spans="1:31">
      <c r="A50" t="s">
        <v>31</v>
      </c>
      <c r="B50">
        <v>119972</v>
      </c>
      <c r="C50">
        <v>6589962</v>
      </c>
      <c r="D50">
        <v>655471</v>
      </c>
      <c r="E50" t="s">
        <v>32</v>
      </c>
      <c r="F50" t="s">
        <v>33</v>
      </c>
      <c r="G50" t="s">
        <v>87</v>
      </c>
      <c r="H50">
        <v>2023</v>
      </c>
      <c r="I50">
        <v>4</v>
      </c>
      <c r="J50">
        <v>25</v>
      </c>
      <c r="K50">
        <v>0.5</v>
      </c>
      <c r="L50">
        <v>2.2000000000000002</v>
      </c>
      <c r="M50">
        <v>4.9000000000000004</v>
      </c>
      <c r="N50">
        <v>10.94</v>
      </c>
      <c r="O50">
        <v>8.1</v>
      </c>
      <c r="P50">
        <v>1.18</v>
      </c>
      <c r="Q50">
        <v>24.3</v>
      </c>
      <c r="R50">
        <v>6</v>
      </c>
      <c r="S50">
        <v>165</v>
      </c>
      <c r="T50">
        <v>642</v>
      </c>
      <c r="U50">
        <v>3</v>
      </c>
      <c r="V50">
        <v>27.6</v>
      </c>
      <c r="W50">
        <v>0.78</v>
      </c>
      <c r="X50" s="8">
        <v>1.129</v>
      </c>
      <c r="Y50" s="8">
        <v>0.151</v>
      </c>
      <c r="Z50" s="8">
        <v>5.1999999999999998E-2</v>
      </c>
      <c r="AA50" s="6">
        <f t="shared" si="0"/>
        <v>1.7743201282969938</v>
      </c>
      <c r="AB50">
        <v>2.1</v>
      </c>
      <c r="AC50">
        <v>9.1</v>
      </c>
      <c r="AD50">
        <v>14</v>
      </c>
      <c r="AE50" t="s">
        <v>35</v>
      </c>
    </row>
    <row r="51" spans="1:31">
      <c r="A51" t="s">
        <v>31</v>
      </c>
      <c r="B51">
        <v>119972</v>
      </c>
      <c r="C51">
        <v>6589962</v>
      </c>
      <c r="D51">
        <v>655471</v>
      </c>
      <c r="E51" t="s">
        <v>32</v>
      </c>
      <c r="F51" t="s">
        <v>33</v>
      </c>
      <c r="G51" t="s">
        <v>88</v>
      </c>
      <c r="H51">
        <v>2023</v>
      </c>
      <c r="I51">
        <v>5</v>
      </c>
      <c r="J51">
        <v>8</v>
      </c>
      <c r="K51">
        <v>0.5</v>
      </c>
      <c r="L51">
        <v>2.1</v>
      </c>
      <c r="M51">
        <v>7.3</v>
      </c>
      <c r="N51">
        <v>16.02</v>
      </c>
      <c r="O51">
        <v>8.39</v>
      </c>
      <c r="P51">
        <v>1.2</v>
      </c>
      <c r="Q51">
        <v>24.5</v>
      </c>
      <c r="R51">
        <v>14</v>
      </c>
      <c r="S51">
        <v>92</v>
      </c>
      <c r="T51">
        <v>516</v>
      </c>
      <c r="U51">
        <v>1</v>
      </c>
      <c r="V51">
        <v>22.2</v>
      </c>
      <c r="W51">
        <v>0.82</v>
      </c>
      <c r="X51" s="8">
        <v>1.0449999999999999</v>
      </c>
      <c r="Y51" s="8">
        <v>0.14899999999999999</v>
      </c>
      <c r="Z51" s="8">
        <v>5.3999999999999999E-2</v>
      </c>
      <c r="AA51" s="6">
        <f t="shared" si="0"/>
        <v>1.8425632101545706</v>
      </c>
      <c r="AB51">
        <v>2.2000000000000002</v>
      </c>
      <c r="AC51">
        <v>9.1</v>
      </c>
      <c r="AD51">
        <v>16</v>
      </c>
    </row>
    <row r="52" spans="1:31">
      <c r="A52" t="s">
        <v>31</v>
      </c>
      <c r="B52">
        <v>119972</v>
      </c>
      <c r="C52">
        <v>6589962</v>
      </c>
      <c r="D52">
        <v>655471</v>
      </c>
      <c r="E52" t="s">
        <v>32</v>
      </c>
      <c r="F52" t="s">
        <v>33</v>
      </c>
      <c r="G52" t="s">
        <v>89</v>
      </c>
      <c r="H52">
        <v>2023</v>
      </c>
      <c r="I52">
        <v>7</v>
      </c>
      <c r="J52">
        <v>20</v>
      </c>
      <c r="K52">
        <v>0.5</v>
      </c>
      <c r="L52">
        <v>3</v>
      </c>
      <c r="M52">
        <v>19.399999999999999</v>
      </c>
      <c r="N52">
        <v>9.3699999999999992</v>
      </c>
      <c r="O52">
        <v>8.1</v>
      </c>
      <c r="P52">
        <v>1.18</v>
      </c>
      <c r="Q52">
        <v>24.3</v>
      </c>
      <c r="R52">
        <v>6</v>
      </c>
      <c r="S52">
        <v>3</v>
      </c>
      <c r="T52">
        <v>457</v>
      </c>
      <c r="U52">
        <v>1</v>
      </c>
      <c r="V52">
        <v>16</v>
      </c>
      <c r="W52">
        <v>0.62</v>
      </c>
      <c r="X52" s="8">
        <v>1.0449999999999999</v>
      </c>
      <c r="Y52" s="8">
        <v>0.125</v>
      </c>
      <c r="Z52" s="8">
        <v>4.2000000000000003E-2</v>
      </c>
      <c r="AA52" s="6">
        <f t="shared" si="0"/>
        <v>1.4331047190091106</v>
      </c>
      <c r="AB52">
        <v>1.7</v>
      </c>
      <c r="AC52">
        <v>9.1</v>
      </c>
      <c r="AD52">
        <v>7.2</v>
      </c>
      <c r="AE52" t="s">
        <v>35</v>
      </c>
    </row>
    <row r="53" spans="1:31">
      <c r="A53" t="s">
        <v>31</v>
      </c>
      <c r="B53">
        <v>119972</v>
      </c>
      <c r="C53">
        <v>6589962</v>
      </c>
      <c r="D53">
        <v>655471</v>
      </c>
      <c r="E53" t="s">
        <v>32</v>
      </c>
      <c r="F53" t="s">
        <v>33</v>
      </c>
      <c r="G53" t="s">
        <v>90</v>
      </c>
      <c r="H53">
        <v>2023</v>
      </c>
      <c r="I53">
        <v>8</v>
      </c>
      <c r="J53">
        <v>15</v>
      </c>
      <c r="K53">
        <v>0.5</v>
      </c>
      <c r="L53">
        <v>3</v>
      </c>
      <c r="M53">
        <v>18.7</v>
      </c>
      <c r="N53">
        <v>9.69</v>
      </c>
      <c r="O53">
        <v>8.06</v>
      </c>
      <c r="P53">
        <v>1.2</v>
      </c>
      <c r="Q53">
        <v>24.5</v>
      </c>
      <c r="R53">
        <v>7</v>
      </c>
      <c r="S53">
        <v>8</v>
      </c>
      <c r="T53">
        <v>460</v>
      </c>
      <c r="U53" t="s">
        <v>52</v>
      </c>
      <c r="V53">
        <v>12.7</v>
      </c>
      <c r="W53">
        <v>0.6</v>
      </c>
      <c r="X53" s="8">
        <v>1.0069999999999999</v>
      </c>
      <c r="Y53" s="8">
        <v>0.122</v>
      </c>
      <c r="Z53" s="8">
        <v>4.1000000000000002E-2</v>
      </c>
      <c r="AA53" s="6">
        <f t="shared" si="0"/>
        <v>1.3989831780803221</v>
      </c>
      <c r="AB53">
        <v>1.4</v>
      </c>
      <c r="AC53">
        <v>8.9</v>
      </c>
      <c r="AD53">
        <v>8.3000000000000007</v>
      </c>
    </row>
    <row r="54" spans="1:31">
      <c r="A54" t="s">
        <v>31</v>
      </c>
      <c r="B54">
        <v>119972</v>
      </c>
      <c r="C54">
        <v>6589962</v>
      </c>
      <c r="D54">
        <v>655471</v>
      </c>
      <c r="E54" t="s">
        <v>32</v>
      </c>
      <c r="F54" t="s">
        <v>33</v>
      </c>
      <c r="G54" t="s">
        <v>91</v>
      </c>
      <c r="H54">
        <v>2023</v>
      </c>
      <c r="I54">
        <v>9</v>
      </c>
      <c r="J54">
        <v>13</v>
      </c>
      <c r="K54">
        <v>0.5</v>
      </c>
      <c r="L54">
        <v>2.5</v>
      </c>
      <c r="M54">
        <v>18.2</v>
      </c>
      <c r="N54">
        <v>10.130000000000001</v>
      </c>
      <c r="O54">
        <v>8.15</v>
      </c>
      <c r="P54">
        <v>1.1000000000000001</v>
      </c>
      <c r="Q54">
        <v>22.9</v>
      </c>
      <c r="R54">
        <v>5</v>
      </c>
      <c r="S54" t="s">
        <v>52</v>
      </c>
      <c r="T54">
        <v>479</v>
      </c>
      <c r="U54" t="s">
        <v>52</v>
      </c>
      <c r="V54">
        <v>18.100000000000001</v>
      </c>
      <c r="W54">
        <v>0.74</v>
      </c>
      <c r="X54" s="8">
        <v>1.1459999999999999</v>
      </c>
      <c r="Y54" s="8">
        <v>0.14499999999999999</v>
      </c>
      <c r="Z54" s="8">
        <v>0.05</v>
      </c>
      <c r="AA54" s="6">
        <f t="shared" si="0"/>
        <v>1.7060770464394173</v>
      </c>
      <c r="AB54">
        <v>1.3</v>
      </c>
      <c r="AC54">
        <v>9.1999999999999993</v>
      </c>
      <c r="AD54">
        <v>20</v>
      </c>
    </row>
    <row r="55" spans="1:31">
      <c r="A55" t="s">
        <v>31</v>
      </c>
      <c r="B55">
        <v>119972</v>
      </c>
      <c r="C55">
        <v>6589961</v>
      </c>
      <c r="D55">
        <v>655471</v>
      </c>
      <c r="E55" t="s">
        <v>32</v>
      </c>
      <c r="F55" t="s">
        <v>33</v>
      </c>
      <c r="G55" t="s">
        <v>92</v>
      </c>
      <c r="H55">
        <v>2024</v>
      </c>
      <c r="I55">
        <v>2</v>
      </c>
      <c r="J55">
        <v>20</v>
      </c>
      <c r="K55">
        <v>0.5</v>
      </c>
      <c r="L55" t="s">
        <v>35</v>
      </c>
      <c r="M55">
        <v>0.7</v>
      </c>
      <c r="N55">
        <v>13.81</v>
      </c>
      <c r="O55">
        <v>7.52</v>
      </c>
      <c r="P55">
        <v>0.74</v>
      </c>
      <c r="Q55">
        <v>17.5</v>
      </c>
      <c r="R55">
        <v>5</v>
      </c>
      <c r="S55">
        <v>189</v>
      </c>
      <c r="T55">
        <v>564</v>
      </c>
      <c r="U55">
        <v>14</v>
      </c>
      <c r="V55">
        <v>23.1</v>
      </c>
      <c r="W55">
        <v>0.68</v>
      </c>
      <c r="X55" s="12">
        <v>1.0980000000000001</v>
      </c>
      <c r="Y55" s="12">
        <v>0.13900000000000001</v>
      </c>
      <c r="Z55" s="12">
        <v>4.5999999999999999E-2</v>
      </c>
      <c r="AA55" s="6">
        <f t="shared" si="0"/>
        <v>1.5695908827242637</v>
      </c>
      <c r="AB55">
        <v>1.6</v>
      </c>
      <c r="AC55">
        <v>8.4</v>
      </c>
      <c r="AD55">
        <v>1.1000000000000001</v>
      </c>
    </row>
    <row r="56" spans="1:31">
      <c r="A56" t="s">
        <v>31</v>
      </c>
      <c r="B56">
        <v>119972</v>
      </c>
      <c r="C56">
        <v>6589961</v>
      </c>
      <c r="D56">
        <v>655471</v>
      </c>
      <c r="E56" t="s">
        <v>32</v>
      </c>
      <c r="F56" t="s">
        <v>33</v>
      </c>
      <c r="G56" t="s">
        <v>93</v>
      </c>
      <c r="H56">
        <v>2024</v>
      </c>
      <c r="I56">
        <v>4</v>
      </c>
      <c r="J56">
        <v>25</v>
      </c>
      <c r="K56">
        <v>0.5</v>
      </c>
      <c r="L56">
        <v>1.75</v>
      </c>
      <c r="M56">
        <v>3.6</v>
      </c>
      <c r="N56">
        <v>13.36</v>
      </c>
      <c r="O56">
        <v>7.66</v>
      </c>
      <c r="P56">
        <v>1.18</v>
      </c>
      <c r="Q56">
        <v>23.4</v>
      </c>
      <c r="R56">
        <v>8</v>
      </c>
      <c r="S56">
        <v>420</v>
      </c>
      <c r="T56">
        <v>810</v>
      </c>
      <c r="U56">
        <v>13</v>
      </c>
      <c r="V56">
        <v>31.7</v>
      </c>
      <c r="W56">
        <v>1.4</v>
      </c>
      <c r="X56" s="8">
        <v>1.579</v>
      </c>
      <c r="Y56" s="8">
        <v>0.253</v>
      </c>
      <c r="Z56" s="8">
        <v>9.5000000000000001E-2</v>
      </c>
      <c r="AA56" s="6">
        <f t="shared" si="0"/>
        <v>3.2415463882348927</v>
      </c>
      <c r="AB56">
        <v>4.3</v>
      </c>
      <c r="AC56">
        <v>10.4</v>
      </c>
      <c r="AD56">
        <v>7.3</v>
      </c>
    </row>
    <row r="57" spans="1:31">
      <c r="A57" t="s">
        <v>31</v>
      </c>
      <c r="B57">
        <v>119972</v>
      </c>
      <c r="C57">
        <v>6589962</v>
      </c>
      <c r="D57">
        <v>655471</v>
      </c>
      <c r="E57" t="s">
        <v>32</v>
      </c>
      <c r="F57" t="s">
        <v>33</v>
      </c>
      <c r="G57" t="s">
        <v>94</v>
      </c>
      <c r="H57">
        <v>2024</v>
      </c>
      <c r="I57">
        <v>5</v>
      </c>
      <c r="J57">
        <v>15</v>
      </c>
      <c r="K57">
        <v>0.5</v>
      </c>
      <c r="L57">
        <v>1.4</v>
      </c>
      <c r="M57">
        <v>11.2</v>
      </c>
      <c r="N57">
        <v>14.36</v>
      </c>
      <c r="O57">
        <v>8.67</v>
      </c>
      <c r="P57">
        <v>1.08</v>
      </c>
      <c r="Q57">
        <v>21.6</v>
      </c>
      <c r="R57">
        <v>7</v>
      </c>
      <c r="S57">
        <v>171</v>
      </c>
      <c r="T57">
        <v>587</v>
      </c>
      <c r="U57">
        <v>2</v>
      </c>
      <c r="V57">
        <v>25.3</v>
      </c>
      <c r="W57">
        <v>1.3</v>
      </c>
      <c r="X57" s="8">
        <v>1.4510000000000001</v>
      </c>
      <c r="Y57" s="8">
        <v>0.23</v>
      </c>
      <c r="Z57" s="8">
        <v>8.5000000000000006E-2</v>
      </c>
      <c r="AA57" s="6">
        <f t="shared" si="0"/>
        <v>2.9003309789470095</v>
      </c>
      <c r="AB57">
        <v>3.8</v>
      </c>
      <c r="AC57">
        <v>10.4</v>
      </c>
      <c r="AD57">
        <v>18</v>
      </c>
    </row>
    <row r="58" spans="1:31">
      <c r="A58" t="s">
        <v>31</v>
      </c>
      <c r="B58">
        <v>119972</v>
      </c>
      <c r="C58">
        <v>6589962</v>
      </c>
      <c r="D58">
        <v>655471</v>
      </c>
      <c r="E58" t="s">
        <v>32</v>
      </c>
      <c r="F58" t="s">
        <v>33</v>
      </c>
      <c r="G58" t="s">
        <v>95</v>
      </c>
      <c r="H58">
        <v>2024</v>
      </c>
      <c r="I58">
        <v>7</v>
      </c>
      <c r="J58">
        <v>25</v>
      </c>
      <c r="K58">
        <v>0.5</v>
      </c>
      <c r="L58">
        <v>2.6</v>
      </c>
      <c r="M58">
        <v>22.2</v>
      </c>
      <c r="N58">
        <v>10.48</v>
      </c>
      <c r="O58">
        <v>8.44</v>
      </c>
      <c r="P58">
        <v>1.08</v>
      </c>
      <c r="Q58">
        <v>21.3</v>
      </c>
      <c r="R58">
        <v>12</v>
      </c>
      <c r="S58">
        <v>3</v>
      </c>
      <c r="T58">
        <v>476</v>
      </c>
      <c r="U58">
        <v>1</v>
      </c>
      <c r="V58">
        <v>18.600000000000001</v>
      </c>
      <c r="W58">
        <v>1</v>
      </c>
      <c r="X58" s="8">
        <v>1.385</v>
      </c>
      <c r="Y58" s="8">
        <v>0.19500000000000001</v>
      </c>
      <c r="Z58" s="8">
        <v>6.9000000000000006E-2</v>
      </c>
      <c r="AA58" s="6">
        <f t="shared" si="0"/>
        <v>2.3543863240863958</v>
      </c>
      <c r="AB58">
        <v>2.6</v>
      </c>
      <c r="AC58">
        <v>10.4</v>
      </c>
      <c r="AD58">
        <v>10</v>
      </c>
    </row>
    <row r="59" spans="1:31">
      <c r="A59" t="s">
        <v>31</v>
      </c>
      <c r="B59">
        <v>119972</v>
      </c>
      <c r="C59">
        <v>6589962</v>
      </c>
      <c r="D59">
        <v>655471</v>
      </c>
      <c r="E59" t="s">
        <v>32</v>
      </c>
      <c r="F59" t="s">
        <v>33</v>
      </c>
      <c r="G59" t="s">
        <v>96</v>
      </c>
      <c r="H59">
        <v>2024</v>
      </c>
      <c r="I59">
        <v>8</v>
      </c>
      <c r="J59">
        <v>20</v>
      </c>
      <c r="K59">
        <v>0.5</v>
      </c>
      <c r="L59">
        <v>2.4</v>
      </c>
      <c r="M59">
        <v>19.600000000000001</v>
      </c>
      <c r="N59">
        <v>9.27</v>
      </c>
      <c r="O59">
        <v>7.82</v>
      </c>
      <c r="P59">
        <v>1.08</v>
      </c>
      <c r="Q59">
        <v>21.2</v>
      </c>
      <c r="R59">
        <v>5</v>
      </c>
      <c r="S59">
        <v>10</v>
      </c>
      <c r="T59">
        <v>498</v>
      </c>
      <c r="U59">
        <v>1</v>
      </c>
      <c r="V59">
        <v>17</v>
      </c>
      <c r="W59">
        <v>1.1000000000000001</v>
      </c>
      <c r="X59" s="8">
        <v>1.4359999999999999</v>
      </c>
      <c r="Y59" s="8">
        <v>0.20599999999999999</v>
      </c>
      <c r="Z59" s="8">
        <v>7.0999999999999994E-2</v>
      </c>
      <c r="AA59" s="6">
        <f t="shared" si="0"/>
        <v>2.4226294059439724</v>
      </c>
      <c r="AB59">
        <v>2</v>
      </c>
      <c r="AC59">
        <v>10.199999999999999</v>
      </c>
      <c r="AD59">
        <v>14</v>
      </c>
    </row>
    <row r="60" spans="1:31">
      <c r="A60" t="s">
        <v>31</v>
      </c>
      <c r="B60">
        <v>119972</v>
      </c>
      <c r="C60">
        <v>6589962</v>
      </c>
      <c r="D60">
        <v>655471</v>
      </c>
      <c r="E60" t="s">
        <v>32</v>
      </c>
      <c r="F60" t="s">
        <v>33</v>
      </c>
      <c r="G60" t="s">
        <v>97</v>
      </c>
      <c r="H60">
        <v>2024</v>
      </c>
      <c r="I60">
        <v>9</v>
      </c>
      <c r="J60">
        <v>12</v>
      </c>
      <c r="K60">
        <v>0.5</v>
      </c>
      <c r="L60">
        <v>2.2999999999999998</v>
      </c>
      <c r="M60">
        <v>17.399999999999999</v>
      </c>
      <c r="N60">
        <v>9.3000000000000007</v>
      </c>
      <c r="O60">
        <v>7.87</v>
      </c>
      <c r="P60">
        <v>1.0900000000000001</v>
      </c>
      <c r="Q60">
        <v>21.7</v>
      </c>
      <c r="R60">
        <v>10</v>
      </c>
      <c r="S60">
        <v>12</v>
      </c>
      <c r="T60">
        <v>513</v>
      </c>
      <c r="U60">
        <v>2</v>
      </c>
      <c r="V60">
        <v>18</v>
      </c>
      <c r="W60">
        <v>0.98</v>
      </c>
      <c r="X60" s="8">
        <v>1.3879999999999999</v>
      </c>
      <c r="Y60" s="8">
        <v>0.191</v>
      </c>
      <c r="Z60" s="8">
        <v>6.6000000000000003E-2</v>
      </c>
      <c r="AA60" s="6">
        <f>Z60/0.029307</f>
        <v>2.252021701300031</v>
      </c>
      <c r="AB60">
        <v>1.8</v>
      </c>
      <c r="AC60">
        <v>10.4</v>
      </c>
      <c r="AD60">
        <v>19</v>
      </c>
    </row>
    <row r="61" spans="1:31">
      <c r="A61" t="s">
        <v>31</v>
      </c>
      <c r="B61">
        <v>119972</v>
      </c>
      <c r="C61">
        <v>6589962</v>
      </c>
      <c r="D61">
        <v>655471</v>
      </c>
      <c r="E61" t="s">
        <v>32</v>
      </c>
      <c r="F61" t="s">
        <v>33</v>
      </c>
      <c r="G61" t="s">
        <v>98</v>
      </c>
      <c r="H61">
        <v>2025</v>
      </c>
      <c r="I61">
        <v>2</v>
      </c>
      <c r="J61">
        <v>25</v>
      </c>
      <c r="K61">
        <v>0.5</v>
      </c>
      <c r="L61" t="s">
        <v>35</v>
      </c>
      <c r="M61">
        <v>0.7</v>
      </c>
      <c r="N61">
        <v>13.57</v>
      </c>
      <c r="O61">
        <v>7.62</v>
      </c>
      <c r="P61">
        <v>0.84799999999999998</v>
      </c>
      <c r="Q61">
        <v>18.100000000000001</v>
      </c>
      <c r="R61">
        <v>7</v>
      </c>
      <c r="S61">
        <v>250</v>
      </c>
      <c r="T61">
        <v>630</v>
      </c>
      <c r="U61">
        <v>15</v>
      </c>
      <c r="V61">
        <v>23.5</v>
      </c>
      <c r="W61">
        <v>0.98</v>
      </c>
      <c r="X61">
        <v>1.3140000000000001</v>
      </c>
      <c r="Y61">
        <v>0.187</v>
      </c>
      <c r="Z61">
        <v>6.6000000000000003E-2</v>
      </c>
      <c r="AA61" s="6">
        <f t="shared" ref="AA61:AA66" si="1">Z61/0.029307</f>
        <v>2.252021701300031</v>
      </c>
      <c r="AB61">
        <v>1.8</v>
      </c>
      <c r="AC61">
        <v>9.5</v>
      </c>
      <c r="AD61">
        <v>0.9</v>
      </c>
    </row>
    <row r="62" spans="1:31">
      <c r="A62" t="s">
        <v>31</v>
      </c>
      <c r="B62">
        <v>119972</v>
      </c>
      <c r="C62">
        <v>6589962</v>
      </c>
      <c r="D62">
        <v>655471</v>
      </c>
      <c r="E62" t="s">
        <v>32</v>
      </c>
      <c r="F62" t="s">
        <v>33</v>
      </c>
      <c r="G62" t="s">
        <v>99</v>
      </c>
      <c r="H62">
        <v>2025</v>
      </c>
      <c r="I62">
        <v>4</v>
      </c>
      <c r="J62">
        <v>30</v>
      </c>
      <c r="K62">
        <v>0.5</v>
      </c>
      <c r="L62">
        <v>2.4</v>
      </c>
      <c r="M62">
        <v>6.6</v>
      </c>
      <c r="N62">
        <v>13.39</v>
      </c>
      <c r="O62">
        <v>7.92</v>
      </c>
      <c r="P62">
        <v>1.22</v>
      </c>
      <c r="Q62">
        <v>23.3</v>
      </c>
      <c r="R62">
        <v>13</v>
      </c>
      <c r="S62">
        <v>260</v>
      </c>
      <c r="T62">
        <v>717</v>
      </c>
      <c r="U62">
        <v>4</v>
      </c>
      <c r="V62">
        <v>22.5</v>
      </c>
      <c r="W62">
        <v>1.1000000000000001</v>
      </c>
      <c r="X62">
        <v>1.466</v>
      </c>
      <c r="Y62">
        <v>0.214</v>
      </c>
      <c r="Z62">
        <v>7.5999999999999998E-2</v>
      </c>
      <c r="AA62" s="6">
        <f t="shared" si="1"/>
        <v>2.5932371105879142</v>
      </c>
      <c r="AB62">
        <v>2.4</v>
      </c>
      <c r="AC62">
        <v>10.4</v>
      </c>
      <c r="AD62">
        <v>9</v>
      </c>
    </row>
    <row r="63" spans="1:31">
      <c r="A63" t="s">
        <v>31</v>
      </c>
      <c r="B63">
        <v>119972</v>
      </c>
      <c r="C63">
        <v>6589962</v>
      </c>
      <c r="D63">
        <v>655471</v>
      </c>
      <c r="E63" t="s">
        <v>32</v>
      </c>
      <c r="F63" t="s">
        <v>33</v>
      </c>
      <c r="G63" t="s">
        <v>100</v>
      </c>
      <c r="H63">
        <v>2025</v>
      </c>
      <c r="I63">
        <v>5</v>
      </c>
      <c r="J63">
        <v>19</v>
      </c>
      <c r="K63">
        <v>0.5</v>
      </c>
      <c r="L63">
        <v>2.2000000000000002</v>
      </c>
      <c r="M63">
        <v>9.6</v>
      </c>
      <c r="N63">
        <v>11.87</v>
      </c>
      <c r="O63">
        <v>8.1300000000000008</v>
      </c>
      <c r="P63">
        <v>1.21</v>
      </c>
      <c r="Q63">
        <v>23.1</v>
      </c>
      <c r="R63">
        <v>8</v>
      </c>
      <c r="S63">
        <v>197</v>
      </c>
      <c r="T63">
        <v>690</v>
      </c>
      <c r="U63">
        <v>2</v>
      </c>
      <c r="V63">
        <v>17.5</v>
      </c>
      <c r="W63">
        <v>1</v>
      </c>
      <c r="X63">
        <v>1.421</v>
      </c>
      <c r="Y63">
        <v>0.20100000000000001</v>
      </c>
      <c r="Z63">
        <v>7.0000000000000007E-2</v>
      </c>
      <c r="AA63" s="6">
        <f t="shared" si="1"/>
        <v>2.3885078650151845</v>
      </c>
      <c r="AB63">
        <v>2.2000000000000002</v>
      </c>
      <c r="AC63">
        <v>10.5</v>
      </c>
      <c r="AD63">
        <v>13</v>
      </c>
    </row>
    <row r="64" spans="1:31">
      <c r="A64" t="s">
        <v>31</v>
      </c>
      <c r="B64">
        <v>119972</v>
      </c>
      <c r="C64">
        <v>6589962</v>
      </c>
      <c r="D64">
        <v>655471</v>
      </c>
      <c r="E64" t="s">
        <v>32</v>
      </c>
      <c r="F64" t="s">
        <v>33</v>
      </c>
      <c r="G64" t="s">
        <v>101</v>
      </c>
      <c r="H64">
        <v>2025</v>
      </c>
      <c r="I64">
        <v>7</v>
      </c>
      <c r="J64">
        <v>17</v>
      </c>
      <c r="K64">
        <v>0.5</v>
      </c>
      <c r="L64">
        <v>2.2999999999999998</v>
      </c>
      <c r="M64">
        <v>20.9</v>
      </c>
      <c r="N64">
        <v>10.210000000000001</v>
      </c>
      <c r="O64">
        <v>8.2100000000000009</v>
      </c>
      <c r="P64">
        <v>1.2</v>
      </c>
      <c r="Q64">
        <v>22.7</v>
      </c>
      <c r="R64">
        <v>14</v>
      </c>
      <c r="S64">
        <v>10</v>
      </c>
      <c r="T64">
        <v>528</v>
      </c>
      <c r="U64" t="s">
        <v>52</v>
      </c>
      <c r="V64">
        <v>15.6</v>
      </c>
      <c r="W64">
        <v>0.92</v>
      </c>
      <c r="X64">
        <v>1.343</v>
      </c>
      <c r="Y64">
        <v>0.17899999999999999</v>
      </c>
      <c r="Z64">
        <v>6.2E-2</v>
      </c>
      <c r="AA64" s="6">
        <f t="shared" si="1"/>
        <v>2.1155355375848774</v>
      </c>
      <c r="AB64">
        <v>1.4</v>
      </c>
      <c r="AC64">
        <v>10.5</v>
      </c>
      <c r="AD64">
        <v>10</v>
      </c>
    </row>
    <row r="65" spans="1:30">
      <c r="A65" t="s">
        <v>31</v>
      </c>
      <c r="B65">
        <v>119972</v>
      </c>
      <c r="C65">
        <v>6589962</v>
      </c>
      <c r="D65">
        <v>655471</v>
      </c>
      <c r="E65" t="s">
        <v>32</v>
      </c>
      <c r="F65" t="s">
        <v>33</v>
      </c>
      <c r="G65" t="s">
        <v>102</v>
      </c>
      <c r="H65">
        <v>2025</v>
      </c>
      <c r="I65">
        <v>8</v>
      </c>
      <c r="J65">
        <v>12</v>
      </c>
      <c r="K65">
        <v>0.5</v>
      </c>
      <c r="L65">
        <v>2.5</v>
      </c>
      <c r="M65">
        <v>20.2</v>
      </c>
      <c r="N65">
        <v>9.27</v>
      </c>
      <c r="O65">
        <v>7.84</v>
      </c>
      <c r="P65">
        <v>1.03</v>
      </c>
      <c r="Q65">
        <v>20.6</v>
      </c>
      <c r="R65">
        <v>6</v>
      </c>
      <c r="S65">
        <v>1</v>
      </c>
      <c r="T65">
        <v>516</v>
      </c>
      <c r="U65">
        <v>1</v>
      </c>
      <c r="V65">
        <v>17.899999999999999</v>
      </c>
      <c r="W65">
        <v>0.78</v>
      </c>
      <c r="X65">
        <v>1.242</v>
      </c>
      <c r="Y65">
        <v>0.158</v>
      </c>
      <c r="Z65">
        <v>5.3999999999999999E-2</v>
      </c>
      <c r="AA65" s="6">
        <f t="shared" si="1"/>
        <v>1.8425632101545706</v>
      </c>
      <c r="AB65">
        <v>2.8</v>
      </c>
      <c r="AC65">
        <v>10.3</v>
      </c>
      <c r="AD65">
        <v>9.5</v>
      </c>
    </row>
    <row r="66" spans="1:30">
      <c r="A66" t="s">
        <v>31</v>
      </c>
      <c r="B66">
        <v>119972</v>
      </c>
      <c r="C66">
        <v>6589962</v>
      </c>
      <c r="D66">
        <v>655471</v>
      </c>
      <c r="E66" t="s">
        <v>32</v>
      </c>
      <c r="F66" t="s">
        <v>33</v>
      </c>
      <c r="G66" t="s">
        <v>103</v>
      </c>
      <c r="H66">
        <v>2025</v>
      </c>
      <c r="I66">
        <v>9</v>
      </c>
      <c r="J66">
        <v>17</v>
      </c>
      <c r="K66">
        <v>0.5</v>
      </c>
      <c r="L66">
        <v>2.4</v>
      </c>
      <c r="M66">
        <v>17.399999999999999</v>
      </c>
      <c r="N66">
        <v>9.1999999999999993</v>
      </c>
      <c r="O66">
        <v>7.8</v>
      </c>
      <c r="P66">
        <v>1.1000000000000001</v>
      </c>
      <c r="Q66">
        <v>21.7</v>
      </c>
      <c r="R66">
        <v>9</v>
      </c>
      <c r="S66">
        <v>9</v>
      </c>
      <c r="T66">
        <v>500</v>
      </c>
      <c r="U66">
        <v>2</v>
      </c>
      <c r="V66">
        <v>19.399999999999999</v>
      </c>
      <c r="W66">
        <v>0.8</v>
      </c>
      <c r="X66">
        <v>1.2430000000000001</v>
      </c>
      <c r="Y66">
        <v>0.16</v>
      </c>
      <c r="Z66">
        <v>5.2999999999999999E-2</v>
      </c>
      <c r="AA66" s="6">
        <f t="shared" si="1"/>
        <v>1.8084416692257823</v>
      </c>
      <c r="AB66">
        <v>1.6</v>
      </c>
      <c r="AC66">
        <v>9.5</v>
      </c>
      <c r="AD66">
        <v>18</v>
      </c>
    </row>
    <row r="68" spans="1:30">
      <c r="W68">
        <f>MIN(W3:W66)</f>
        <v>0.48</v>
      </c>
      <c r="X68">
        <f>MIN(X3:X66)</f>
        <v>0.91800000000000004</v>
      </c>
      <c r="Y68">
        <f t="shared" ref="X68:AD68" si="2">MIN(Y3:Y66)</f>
        <v>0.10199999999999999</v>
      </c>
      <c r="Z68">
        <f t="shared" si="2"/>
        <v>3.3000000000000002E-2</v>
      </c>
      <c r="AA68">
        <f t="shared" si="2"/>
        <v>1.1260108506500155</v>
      </c>
      <c r="AB68">
        <f t="shared" si="2"/>
        <v>0.95</v>
      </c>
      <c r="AC68">
        <f t="shared" si="2"/>
        <v>7.5</v>
      </c>
      <c r="AD68">
        <f t="shared" si="2"/>
        <v>0.9</v>
      </c>
    </row>
    <row r="69" spans="1:30">
      <c r="W69">
        <f>MAX(W3:W66)</f>
        <v>1.4</v>
      </c>
      <c r="X69">
        <f t="shared" ref="X69:AD69" si="3">MAX(X3:X66)</f>
        <v>1.579</v>
      </c>
      <c r="Y69">
        <f t="shared" si="3"/>
        <v>0.253</v>
      </c>
      <c r="Z69">
        <f t="shared" si="3"/>
        <v>9.5000000000000001E-2</v>
      </c>
      <c r="AA69">
        <f t="shared" si="3"/>
        <v>3.2415463882348927</v>
      </c>
      <c r="AB69">
        <f t="shared" si="3"/>
        <v>4.3</v>
      </c>
      <c r="AC69">
        <f t="shared" si="3"/>
        <v>10.5</v>
      </c>
      <c r="AD69">
        <f t="shared" si="3"/>
        <v>33</v>
      </c>
    </row>
  </sheetData>
  <autoFilter ref="A2:AE66" xr:uid="{991FF11D-2CA7-4220-A9B0-95EBECF6DFD9}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922C-455A-4E8B-8DF5-A888CDC061FC}">
  <dimension ref="A1:AF57"/>
  <sheetViews>
    <sheetView tabSelected="1" workbookViewId="0">
      <pane ySplit="1" topLeftCell="R2" activePane="bottomLeft" state="frozen"/>
      <selection pane="bottomLeft" sqref="A1:XFD1"/>
    </sheetView>
  </sheetViews>
  <sheetFormatPr defaultRowHeight="14.45"/>
  <cols>
    <col min="1" max="1" width="17.85546875" bestFit="1" customWidth="1"/>
    <col min="2" max="2" width="8.7109375" bestFit="1" customWidth="1"/>
    <col min="3" max="3" width="11.42578125" bestFit="1" customWidth="1"/>
    <col min="4" max="4" width="8.7109375" bestFit="1" customWidth="1"/>
    <col min="5" max="5" width="13.42578125" bestFit="1" customWidth="1"/>
    <col min="6" max="6" width="8.7109375" bestFit="1" customWidth="1"/>
    <col min="7" max="7" width="10.42578125" bestFit="1" customWidth="1"/>
    <col min="8" max="10" width="8.85546875" bestFit="1" customWidth="1"/>
    <col min="11" max="12" width="9" bestFit="1" customWidth="1"/>
    <col min="13" max="13" width="9" customWidth="1"/>
    <col min="14" max="15" width="8.28515625" bestFit="1" customWidth="1"/>
    <col min="16" max="16" width="8.42578125" bestFit="1" customWidth="1"/>
    <col min="18" max="19" width="8.42578125" bestFit="1" customWidth="1"/>
    <col min="21" max="22" width="8.5703125" bestFit="1" customWidth="1"/>
    <col min="25" max="25" width="8.42578125" bestFit="1" customWidth="1"/>
    <col min="26" max="26" width="8.85546875" bestFit="1" customWidth="1"/>
    <col min="27" max="27" width="14.7109375" customWidth="1"/>
    <col min="28" max="28" width="22.7109375" customWidth="1"/>
    <col min="29" max="29" width="27.42578125" customWidth="1"/>
    <col min="30" max="32" width="14.7109375" customWidth="1"/>
  </cols>
  <sheetData>
    <row r="1" spans="1:32" ht="72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104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105</v>
      </c>
      <c r="L1" s="1" t="s">
        <v>106</v>
      </c>
      <c r="M1" s="4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5" t="s">
        <v>121</v>
      </c>
      <c r="AB1" s="5" t="s">
        <v>122</v>
      </c>
      <c r="AC1" s="5" t="s">
        <v>123</v>
      </c>
      <c r="AD1" s="5" t="s">
        <v>124</v>
      </c>
      <c r="AE1" s="5" t="s">
        <v>125</v>
      </c>
      <c r="AF1" s="5" t="s">
        <v>126</v>
      </c>
    </row>
    <row r="2" spans="1:32">
      <c r="A2" t="s">
        <v>31</v>
      </c>
      <c r="B2">
        <v>119972</v>
      </c>
      <c r="C2">
        <v>6589962</v>
      </c>
      <c r="D2">
        <v>655471</v>
      </c>
      <c r="E2" t="s">
        <v>32</v>
      </c>
      <c r="F2" t="s">
        <v>33</v>
      </c>
      <c r="G2" t="s">
        <v>36</v>
      </c>
      <c r="H2">
        <v>2015</v>
      </c>
      <c r="I2">
        <v>4</v>
      </c>
      <c r="J2">
        <v>8</v>
      </c>
      <c r="K2">
        <v>0</v>
      </c>
      <c r="L2">
        <v>8</v>
      </c>
      <c r="M2">
        <v>1.2744700000000002</v>
      </c>
      <c r="N2" t="s">
        <v>35</v>
      </c>
      <c r="O2" t="s">
        <v>35</v>
      </c>
      <c r="P2" t="s">
        <v>35</v>
      </c>
      <c r="Q2" t="s">
        <v>35</v>
      </c>
      <c r="R2">
        <v>7.43E-3</v>
      </c>
      <c r="S2" t="s">
        <v>35</v>
      </c>
      <c r="T2">
        <v>4.0400000000000002E-3</v>
      </c>
      <c r="U2">
        <v>1.39E-3</v>
      </c>
      <c r="V2" t="s">
        <v>35</v>
      </c>
      <c r="W2">
        <v>1.1352500000000001</v>
      </c>
      <c r="X2">
        <v>2.5999999999999999E-3</v>
      </c>
      <c r="Y2" t="s">
        <v>35</v>
      </c>
      <c r="Z2">
        <v>0.12376</v>
      </c>
      <c r="AA2">
        <v>1.1426862449999999</v>
      </c>
      <c r="AB2">
        <v>3.7815349999999999E-3</v>
      </c>
      <c r="AC2">
        <v>1.39299E-3</v>
      </c>
      <c r="AD2">
        <v>9.3778920000000002E-2</v>
      </c>
      <c r="AE2">
        <v>2.5523436E-2</v>
      </c>
      <c r="AF2">
        <v>7.3191000000000003E-3</v>
      </c>
    </row>
    <row r="3" spans="1:32">
      <c r="A3" t="s">
        <v>31</v>
      </c>
      <c r="B3">
        <v>119972</v>
      </c>
      <c r="C3">
        <v>6589962</v>
      </c>
      <c r="D3">
        <v>655471</v>
      </c>
      <c r="E3" t="s">
        <v>32</v>
      </c>
      <c r="F3" t="s">
        <v>33</v>
      </c>
      <c r="G3" t="s">
        <v>37</v>
      </c>
      <c r="H3">
        <v>2015</v>
      </c>
      <c r="I3">
        <v>5</v>
      </c>
      <c r="J3">
        <v>19</v>
      </c>
      <c r="K3">
        <v>0</v>
      </c>
      <c r="L3">
        <v>8</v>
      </c>
      <c r="M3">
        <v>1.46428</v>
      </c>
      <c r="N3" t="s">
        <v>35</v>
      </c>
      <c r="O3" t="s">
        <v>35</v>
      </c>
      <c r="P3" t="s">
        <v>35</v>
      </c>
      <c r="Q3" t="s">
        <v>35</v>
      </c>
      <c r="R3">
        <v>1.9689999999999999E-2</v>
      </c>
      <c r="S3" t="s">
        <v>35</v>
      </c>
      <c r="T3">
        <v>4.3899999999999998E-3</v>
      </c>
      <c r="U3">
        <v>6.3899999999999998E-3</v>
      </c>
      <c r="V3" t="s">
        <v>35</v>
      </c>
      <c r="W3">
        <v>1.09162</v>
      </c>
      <c r="X3">
        <v>0.14247000000000001</v>
      </c>
      <c r="Y3" t="s">
        <v>35</v>
      </c>
      <c r="Z3">
        <v>0.19972000000000001</v>
      </c>
      <c r="AA3">
        <v>1.1113071919999999</v>
      </c>
      <c r="AB3">
        <v>0.14364914300000001</v>
      </c>
      <c r="AC3">
        <v>6.3884730000000004E-3</v>
      </c>
      <c r="AD3">
        <v>0.17504454</v>
      </c>
      <c r="AE3">
        <v>2.2801783999999999E-2</v>
      </c>
      <c r="AF3">
        <v>5.0761499999999998E-3</v>
      </c>
    </row>
    <row r="4" spans="1:32">
      <c r="A4" t="s">
        <v>31</v>
      </c>
      <c r="B4">
        <v>119972</v>
      </c>
      <c r="C4">
        <v>6589962</v>
      </c>
      <c r="D4">
        <v>655471</v>
      </c>
      <c r="E4" t="s">
        <v>32</v>
      </c>
      <c r="F4" t="s">
        <v>33</v>
      </c>
      <c r="G4" t="s">
        <v>38</v>
      </c>
      <c r="H4">
        <v>2015</v>
      </c>
      <c r="I4">
        <v>7</v>
      </c>
      <c r="J4">
        <v>8</v>
      </c>
      <c r="K4">
        <v>0</v>
      </c>
      <c r="L4">
        <v>8</v>
      </c>
      <c r="M4">
        <v>0.20654</v>
      </c>
      <c r="N4" t="s">
        <v>35</v>
      </c>
      <c r="O4">
        <v>2.3E-3</v>
      </c>
      <c r="P4" t="s">
        <v>35</v>
      </c>
      <c r="Q4" t="s">
        <v>35</v>
      </c>
      <c r="R4">
        <v>4.3200000000000001E-3</v>
      </c>
      <c r="S4" t="s">
        <v>35</v>
      </c>
      <c r="T4">
        <v>6.9499999999999996E-3</v>
      </c>
      <c r="U4" t="s">
        <v>35</v>
      </c>
      <c r="V4" t="s">
        <v>35</v>
      </c>
      <c r="W4">
        <v>3.1980000000000001E-2</v>
      </c>
      <c r="X4">
        <v>4.3929999999999997E-2</v>
      </c>
      <c r="Y4" t="s">
        <v>35</v>
      </c>
      <c r="Z4">
        <v>0.11706</v>
      </c>
      <c r="AA4">
        <v>3.6299695999999999E-2</v>
      </c>
      <c r="AB4">
        <v>8.0289739999999998E-2</v>
      </c>
      <c r="AD4">
        <v>5.4899152999999999E-2</v>
      </c>
      <c r="AE4">
        <v>2.6070275E-2</v>
      </c>
      <c r="AF4">
        <v>8.9718000000000003E-3</v>
      </c>
    </row>
    <row r="5" spans="1:32">
      <c r="A5" t="s">
        <v>31</v>
      </c>
      <c r="B5">
        <v>119972</v>
      </c>
      <c r="C5">
        <v>6589962</v>
      </c>
      <c r="D5">
        <v>655471</v>
      </c>
      <c r="E5" t="s">
        <v>32</v>
      </c>
      <c r="F5" t="s">
        <v>33</v>
      </c>
      <c r="G5" t="s">
        <v>39</v>
      </c>
      <c r="H5">
        <v>2015</v>
      </c>
      <c r="I5">
        <v>8</v>
      </c>
      <c r="J5">
        <v>4</v>
      </c>
      <c r="K5">
        <v>0</v>
      </c>
      <c r="L5">
        <v>8</v>
      </c>
      <c r="M5">
        <v>0.84114999999999995</v>
      </c>
      <c r="N5">
        <v>2.5200000000000001E-3</v>
      </c>
      <c r="O5">
        <v>3.8550000000000001E-2</v>
      </c>
      <c r="P5" t="s">
        <v>35</v>
      </c>
      <c r="Q5" t="s">
        <v>35</v>
      </c>
      <c r="R5">
        <v>9.0630000000000002E-2</v>
      </c>
      <c r="S5" t="s">
        <v>35</v>
      </c>
      <c r="T5">
        <v>1.98E-3</v>
      </c>
      <c r="U5">
        <v>6.6600000000000001E-3</v>
      </c>
      <c r="V5" t="s">
        <v>35</v>
      </c>
      <c r="W5">
        <v>8.9779999999999999E-2</v>
      </c>
      <c r="X5">
        <v>0.45446999999999999</v>
      </c>
      <c r="Y5">
        <v>4.3299999999999996E-3</v>
      </c>
      <c r="Z5">
        <v>0.15223</v>
      </c>
      <c r="AA5">
        <v>0.18041317300000001</v>
      </c>
      <c r="AB5">
        <v>0.51207532300000003</v>
      </c>
      <c r="AC5">
        <v>6.6560530000000003E-3</v>
      </c>
      <c r="AD5">
        <v>9.5441458000000007E-2</v>
      </c>
      <c r="AE5">
        <v>2.9447761999999999E-2</v>
      </c>
      <c r="AF5">
        <v>1.7117250000000001E-2</v>
      </c>
    </row>
    <row r="6" spans="1:32">
      <c r="A6" t="s">
        <v>31</v>
      </c>
      <c r="B6">
        <v>119972</v>
      </c>
      <c r="C6">
        <v>6589962</v>
      </c>
      <c r="D6">
        <v>655471</v>
      </c>
      <c r="E6" t="s">
        <v>32</v>
      </c>
      <c r="F6" t="s">
        <v>33</v>
      </c>
      <c r="G6" t="s">
        <v>40</v>
      </c>
      <c r="H6">
        <v>2015</v>
      </c>
      <c r="I6">
        <v>8</v>
      </c>
      <c r="J6">
        <v>12</v>
      </c>
      <c r="K6">
        <v>0</v>
      </c>
      <c r="L6">
        <v>8</v>
      </c>
      <c r="M6">
        <v>1.5190999999999999</v>
      </c>
      <c r="N6" t="s">
        <v>35</v>
      </c>
      <c r="O6">
        <v>6.0150000000000002E-2</v>
      </c>
      <c r="P6" t="s">
        <v>35</v>
      </c>
      <c r="Q6" t="s">
        <v>35</v>
      </c>
      <c r="R6">
        <v>0.15515000000000001</v>
      </c>
      <c r="S6" t="s">
        <v>35</v>
      </c>
      <c r="T6">
        <v>2.5300000000000001E-3</v>
      </c>
      <c r="U6">
        <v>3.81E-3</v>
      </c>
      <c r="V6" t="s">
        <v>35</v>
      </c>
      <c r="W6">
        <v>0.14061000000000001</v>
      </c>
      <c r="X6">
        <v>1.0036499999999999</v>
      </c>
      <c r="Y6">
        <v>2.4750000000000001E-2</v>
      </c>
      <c r="Z6">
        <v>0.12845000000000001</v>
      </c>
      <c r="AA6">
        <v>0.29575907400000001</v>
      </c>
      <c r="AB6">
        <v>1.040480895</v>
      </c>
      <c r="AC6">
        <v>3.8096800000000002E-3</v>
      </c>
      <c r="AD6">
        <v>0.123562936</v>
      </c>
      <c r="AE6">
        <v>4.1910318000000002E-2</v>
      </c>
      <c r="AF6">
        <v>1.3575749999999999E-2</v>
      </c>
    </row>
    <row r="7" spans="1:32">
      <c r="A7" t="s">
        <v>31</v>
      </c>
      <c r="B7">
        <v>119972</v>
      </c>
      <c r="C7">
        <v>6589962</v>
      </c>
      <c r="D7">
        <v>655471</v>
      </c>
      <c r="E7" t="s">
        <v>32</v>
      </c>
      <c r="F7" t="s">
        <v>33</v>
      </c>
      <c r="G7" t="s">
        <v>41</v>
      </c>
      <c r="H7">
        <v>2015</v>
      </c>
      <c r="I7">
        <v>9</v>
      </c>
      <c r="J7">
        <v>9</v>
      </c>
      <c r="K7">
        <v>0</v>
      </c>
      <c r="L7">
        <v>8</v>
      </c>
      <c r="M7">
        <v>0.51824000000000003</v>
      </c>
      <c r="N7" t="s">
        <v>35</v>
      </c>
      <c r="O7" t="s">
        <v>35</v>
      </c>
      <c r="P7" t="s">
        <v>35</v>
      </c>
      <c r="Q7" t="s">
        <v>35</v>
      </c>
      <c r="R7">
        <v>6.2300000000000003E-3</v>
      </c>
      <c r="S7" t="s">
        <v>35</v>
      </c>
      <c r="T7">
        <v>1.1820000000000001E-2</v>
      </c>
      <c r="U7">
        <v>8.2799999999999992E-3</v>
      </c>
      <c r="V7" t="s">
        <v>35</v>
      </c>
      <c r="W7">
        <v>0.32956000000000002</v>
      </c>
      <c r="X7">
        <v>7.3029999999999998E-2</v>
      </c>
      <c r="Y7" t="s">
        <v>35</v>
      </c>
      <c r="Z7">
        <v>8.9319999999999997E-2</v>
      </c>
      <c r="AA7">
        <v>0.335789222</v>
      </c>
      <c r="AB7">
        <v>9.5697233000000007E-2</v>
      </c>
      <c r="AC7">
        <v>8.2753059999999996E-3</v>
      </c>
      <c r="AD7">
        <v>4.293085E-2</v>
      </c>
      <c r="AE7">
        <v>2.0788013000000001E-2</v>
      </c>
      <c r="AF7">
        <v>1.475625E-2</v>
      </c>
    </row>
    <row r="8" spans="1:32">
      <c r="A8" t="s">
        <v>31</v>
      </c>
      <c r="B8">
        <v>119972</v>
      </c>
      <c r="C8">
        <v>6589962</v>
      </c>
      <c r="D8">
        <v>655471</v>
      </c>
      <c r="E8" t="s">
        <v>32</v>
      </c>
      <c r="F8" t="s">
        <v>33</v>
      </c>
      <c r="G8" t="s">
        <v>127</v>
      </c>
      <c r="H8">
        <v>2015</v>
      </c>
      <c r="I8">
        <v>10</v>
      </c>
      <c r="J8">
        <v>1</v>
      </c>
      <c r="K8">
        <v>0</v>
      </c>
      <c r="L8">
        <v>8</v>
      </c>
      <c r="M8">
        <v>0.45668999999999998</v>
      </c>
      <c r="N8" t="s">
        <v>35</v>
      </c>
      <c r="O8">
        <v>1.286E-2</v>
      </c>
      <c r="P8" t="s">
        <v>35</v>
      </c>
      <c r="Q8" t="s">
        <v>35</v>
      </c>
      <c r="R8" t="s">
        <v>35</v>
      </c>
      <c r="S8" t="s">
        <v>35</v>
      </c>
      <c r="T8">
        <v>3.3999999999999998E-3</v>
      </c>
      <c r="U8">
        <v>8.5400000000000007E-3</v>
      </c>
      <c r="V8" t="s">
        <v>35</v>
      </c>
      <c r="W8">
        <v>0.19897000000000001</v>
      </c>
      <c r="X8">
        <v>0.12186</v>
      </c>
      <c r="Y8" t="s">
        <v>35</v>
      </c>
      <c r="Z8">
        <v>0.11106000000000001</v>
      </c>
      <c r="AA8">
        <v>0.19896736000000001</v>
      </c>
      <c r="AB8">
        <v>0.12705524800000001</v>
      </c>
      <c r="AC8">
        <v>8.5448529999999998E-3</v>
      </c>
      <c r="AD8">
        <v>0.10943235</v>
      </c>
      <c r="AE8">
        <v>1.2362402999999999E-2</v>
      </c>
      <c r="AF8">
        <v>3.1480000000000001E-4</v>
      </c>
    </row>
    <row r="9" spans="1:32">
      <c r="A9" t="s">
        <v>31</v>
      </c>
      <c r="B9">
        <v>119972</v>
      </c>
      <c r="C9">
        <v>6589962</v>
      </c>
      <c r="D9">
        <v>655471</v>
      </c>
      <c r="E9" t="s">
        <v>32</v>
      </c>
      <c r="F9" t="s">
        <v>33</v>
      </c>
      <c r="G9" t="s">
        <v>42</v>
      </c>
      <c r="H9">
        <v>2016</v>
      </c>
      <c r="I9">
        <v>7</v>
      </c>
      <c r="J9">
        <v>27</v>
      </c>
      <c r="K9">
        <v>0</v>
      </c>
      <c r="L9">
        <v>8</v>
      </c>
      <c r="M9">
        <v>0.5519099999999999</v>
      </c>
      <c r="N9">
        <v>8.8800000000000007E-3</v>
      </c>
      <c r="O9">
        <v>2.9489999999999999E-2</v>
      </c>
      <c r="P9" t="s">
        <v>35</v>
      </c>
      <c r="Q9" t="s">
        <v>35</v>
      </c>
      <c r="R9">
        <v>0.11237999999999999</v>
      </c>
      <c r="S9" t="s">
        <v>35</v>
      </c>
      <c r="T9">
        <v>4.3770000000000003E-2</v>
      </c>
      <c r="U9">
        <v>4.598E-2</v>
      </c>
      <c r="V9" t="s">
        <v>35</v>
      </c>
      <c r="W9">
        <v>3.9070000000000001E-2</v>
      </c>
      <c r="X9">
        <v>9.6680000000000002E-2</v>
      </c>
      <c r="Y9">
        <v>2.0959999999999999E-2</v>
      </c>
      <c r="Z9">
        <v>0.1547</v>
      </c>
      <c r="AA9">
        <v>0.15144996899999999</v>
      </c>
      <c r="AB9">
        <v>0.102813681</v>
      </c>
      <c r="AC9">
        <v>4.5982815000000003E-2</v>
      </c>
      <c r="AD9">
        <v>0.17536848399999999</v>
      </c>
      <c r="AE9">
        <v>5.3902215000000003E-2</v>
      </c>
      <c r="AF9">
        <v>2.2390150000000001E-2</v>
      </c>
    </row>
    <row r="10" spans="1:32">
      <c r="A10" t="s">
        <v>31</v>
      </c>
      <c r="B10">
        <v>119972</v>
      </c>
      <c r="C10">
        <v>6589962</v>
      </c>
      <c r="D10">
        <v>655471</v>
      </c>
      <c r="E10" t="s">
        <v>32</v>
      </c>
      <c r="F10" t="s">
        <v>33</v>
      </c>
      <c r="G10" t="s">
        <v>44</v>
      </c>
      <c r="H10">
        <v>2016</v>
      </c>
      <c r="I10">
        <v>8</v>
      </c>
      <c r="J10">
        <v>19</v>
      </c>
      <c r="K10">
        <v>0</v>
      </c>
      <c r="L10">
        <v>8</v>
      </c>
      <c r="M10">
        <v>0.71016000000000001</v>
      </c>
      <c r="N10">
        <v>2.9999999999999997E-4</v>
      </c>
      <c r="O10">
        <v>2.503E-2</v>
      </c>
      <c r="P10">
        <v>7.8700000000000003E-3</v>
      </c>
      <c r="Q10" t="s">
        <v>35</v>
      </c>
      <c r="R10">
        <v>7.6590000000000005E-2</v>
      </c>
      <c r="S10" t="s">
        <v>35</v>
      </c>
      <c r="T10">
        <v>2.6950000000000002E-2</v>
      </c>
      <c r="U10">
        <v>0.23599999999999999</v>
      </c>
      <c r="V10" t="s">
        <v>35</v>
      </c>
      <c r="W10">
        <v>8.5629999999999998E-2</v>
      </c>
      <c r="X10">
        <v>4.0869999999999997E-2</v>
      </c>
      <c r="Y10">
        <v>1.167E-2</v>
      </c>
      <c r="Z10">
        <v>0.19925000000000001</v>
      </c>
      <c r="AA10">
        <v>0.162216787</v>
      </c>
      <c r="AB10">
        <v>5.4804712999999998E-2</v>
      </c>
      <c r="AC10">
        <v>0.2359976915</v>
      </c>
      <c r="AD10">
        <v>0.206402589</v>
      </c>
      <c r="AE10">
        <v>3.8625748000000001E-2</v>
      </c>
      <c r="AF10">
        <v>1.21198E-2</v>
      </c>
    </row>
    <row r="11" spans="1:32">
      <c r="A11" t="s">
        <v>31</v>
      </c>
      <c r="B11">
        <v>119972</v>
      </c>
      <c r="C11">
        <v>6589962</v>
      </c>
      <c r="D11">
        <v>655471</v>
      </c>
      <c r="E11" t="s">
        <v>32</v>
      </c>
      <c r="F11" t="s">
        <v>33</v>
      </c>
      <c r="G11" t="s">
        <v>128</v>
      </c>
      <c r="H11">
        <v>2016</v>
      </c>
      <c r="I11">
        <v>9</v>
      </c>
      <c r="J11">
        <v>12</v>
      </c>
      <c r="K11">
        <v>0</v>
      </c>
      <c r="L11">
        <v>8</v>
      </c>
      <c r="M11">
        <v>0.9247200000000001</v>
      </c>
      <c r="N11" t="s">
        <v>35</v>
      </c>
      <c r="O11" t="s">
        <v>35</v>
      </c>
      <c r="P11" t="s">
        <v>35</v>
      </c>
      <c r="Q11" t="s">
        <v>35</v>
      </c>
      <c r="R11">
        <v>5.364E-2</v>
      </c>
      <c r="S11" t="s">
        <v>35</v>
      </c>
      <c r="T11">
        <v>1.306E-2</v>
      </c>
      <c r="U11">
        <v>5.7860000000000002E-2</v>
      </c>
      <c r="V11" t="s">
        <v>35</v>
      </c>
      <c r="W11">
        <v>0.56991000000000003</v>
      </c>
      <c r="X11">
        <v>0.1167</v>
      </c>
      <c r="Y11">
        <v>1.58E-3</v>
      </c>
      <c r="Z11">
        <v>0.11197</v>
      </c>
      <c r="AA11">
        <v>0.623547356</v>
      </c>
      <c r="AB11">
        <v>0.12614429599999999</v>
      </c>
      <c r="AC11">
        <v>5.7859226E-2</v>
      </c>
      <c r="AD11">
        <v>8.6192240000000003E-2</v>
      </c>
      <c r="AE11">
        <v>1.4649232E-2</v>
      </c>
      <c r="AF11">
        <v>1.6330250000000001E-2</v>
      </c>
    </row>
    <row r="12" spans="1:32">
      <c r="A12" t="s">
        <v>31</v>
      </c>
      <c r="B12">
        <v>119972</v>
      </c>
      <c r="C12">
        <v>6589962</v>
      </c>
      <c r="D12">
        <v>655471</v>
      </c>
      <c r="E12" t="s">
        <v>32</v>
      </c>
      <c r="F12" t="s">
        <v>33</v>
      </c>
      <c r="G12" t="s">
        <v>129</v>
      </c>
      <c r="H12">
        <v>2016</v>
      </c>
      <c r="I12">
        <v>9</v>
      </c>
      <c r="J12">
        <v>21</v>
      </c>
      <c r="K12">
        <v>0</v>
      </c>
      <c r="L12">
        <v>8</v>
      </c>
      <c r="M12">
        <v>0.34188000000000002</v>
      </c>
      <c r="N12" t="s">
        <v>35</v>
      </c>
      <c r="O12">
        <v>1.6100000000000001E-3</v>
      </c>
      <c r="P12" t="s">
        <v>35</v>
      </c>
      <c r="Q12" t="s">
        <v>35</v>
      </c>
      <c r="R12">
        <v>4.7390000000000002E-2</v>
      </c>
      <c r="S12" t="s">
        <v>35</v>
      </c>
      <c r="T12">
        <v>2.6099999999999999E-3</v>
      </c>
      <c r="U12">
        <v>2.4E-2</v>
      </c>
      <c r="V12" t="s">
        <v>35</v>
      </c>
      <c r="W12">
        <v>0.10316</v>
      </c>
      <c r="X12">
        <v>5.024E-2</v>
      </c>
      <c r="Y12" t="s">
        <v>35</v>
      </c>
      <c r="Z12">
        <v>0.11287</v>
      </c>
      <c r="AA12">
        <v>0.15054527600000001</v>
      </c>
      <c r="AB12">
        <v>5.4489913000000001E-2</v>
      </c>
      <c r="AC12">
        <v>2.3999664E-2</v>
      </c>
      <c r="AD12">
        <v>9.3898854000000004E-2</v>
      </c>
      <c r="AE12">
        <v>2.609568E-3</v>
      </c>
      <c r="AF12">
        <v>1.6330250000000001E-2</v>
      </c>
    </row>
    <row r="13" spans="1:32">
      <c r="A13" t="s">
        <v>31</v>
      </c>
      <c r="B13">
        <v>119972</v>
      </c>
      <c r="C13">
        <v>6589962</v>
      </c>
      <c r="D13">
        <v>655471</v>
      </c>
      <c r="E13" t="s">
        <v>32</v>
      </c>
      <c r="F13" t="s">
        <v>33</v>
      </c>
      <c r="G13" t="s">
        <v>47</v>
      </c>
      <c r="H13">
        <v>2017</v>
      </c>
      <c r="I13">
        <v>4</v>
      </c>
      <c r="J13">
        <v>27</v>
      </c>
      <c r="K13">
        <v>0</v>
      </c>
      <c r="L13">
        <v>8</v>
      </c>
      <c r="M13">
        <v>2.4173799999999996</v>
      </c>
      <c r="N13">
        <v>2.349E-2</v>
      </c>
      <c r="O13">
        <v>3.1449999999999999E-2</v>
      </c>
      <c r="P13" t="s">
        <v>35</v>
      </c>
      <c r="Q13">
        <v>5.0000000000000002E-5</v>
      </c>
      <c r="R13">
        <v>0.1371</v>
      </c>
      <c r="S13" t="s">
        <v>35</v>
      </c>
      <c r="T13">
        <v>7.1999999999999998E-3</v>
      </c>
      <c r="U13">
        <v>1.0200000000000001E-2</v>
      </c>
      <c r="V13">
        <v>2.0899999999999998E-2</v>
      </c>
      <c r="W13">
        <v>2.1103999999999998</v>
      </c>
      <c r="X13">
        <v>6.4259999999999998E-2</v>
      </c>
      <c r="Y13">
        <v>3.5E-4</v>
      </c>
      <c r="Z13">
        <v>1.1979999999999999E-2</v>
      </c>
      <c r="AA13">
        <v>2.2475066340000001</v>
      </c>
      <c r="AB13">
        <v>6.4255997999999995E-2</v>
      </c>
      <c r="AC13">
        <v>1.0200328999999999E-2</v>
      </c>
      <c r="AD13">
        <v>7.5840925000000003E-2</v>
      </c>
      <c r="AE13">
        <v>1.00540474E-2</v>
      </c>
      <c r="AF13">
        <v>9.5183692999999993E-3</v>
      </c>
    </row>
    <row r="14" spans="1:32">
      <c r="A14" t="s">
        <v>31</v>
      </c>
      <c r="B14">
        <v>119972</v>
      </c>
      <c r="C14">
        <v>6589962</v>
      </c>
      <c r="D14">
        <v>655471</v>
      </c>
      <c r="E14" t="s">
        <v>32</v>
      </c>
      <c r="F14" t="s">
        <v>33</v>
      </c>
      <c r="G14" t="s">
        <v>48</v>
      </c>
      <c r="H14">
        <v>2017</v>
      </c>
      <c r="I14">
        <v>5</v>
      </c>
      <c r="J14">
        <v>15</v>
      </c>
      <c r="K14">
        <v>0</v>
      </c>
      <c r="L14">
        <v>8</v>
      </c>
      <c r="M14">
        <v>1.8736799999999998</v>
      </c>
      <c r="N14">
        <v>4.5609999999999998E-2</v>
      </c>
      <c r="O14">
        <v>0.10539999999999999</v>
      </c>
      <c r="P14" t="s">
        <v>35</v>
      </c>
      <c r="Q14" t="s">
        <v>35</v>
      </c>
      <c r="R14">
        <v>0.11871</v>
      </c>
      <c r="S14" t="s">
        <v>35</v>
      </c>
      <c r="T14">
        <v>1.58E-3</v>
      </c>
      <c r="U14">
        <v>2.7289999999999998E-2</v>
      </c>
      <c r="V14">
        <v>1.5730000000000001E-2</v>
      </c>
      <c r="W14">
        <v>1.0508299999999999</v>
      </c>
      <c r="X14">
        <v>0.46664</v>
      </c>
      <c r="Y14">
        <v>1.3600000000000001E-3</v>
      </c>
      <c r="Z14">
        <v>4.0529999999999997E-2</v>
      </c>
      <c r="AA14">
        <v>1.1695372550000001</v>
      </c>
      <c r="AB14">
        <v>0.46663597000000001</v>
      </c>
      <c r="AC14">
        <v>2.7292548E-2</v>
      </c>
      <c r="AD14">
        <v>0.166736884</v>
      </c>
      <c r="AE14">
        <v>2.6110995800000002E-2</v>
      </c>
      <c r="AF14">
        <v>1.7356020999999999E-2</v>
      </c>
    </row>
    <row r="15" spans="1:32">
      <c r="A15" t="s">
        <v>31</v>
      </c>
      <c r="B15">
        <v>119972</v>
      </c>
      <c r="C15">
        <v>6589962</v>
      </c>
      <c r="D15">
        <v>655471</v>
      </c>
      <c r="E15" t="s">
        <v>32</v>
      </c>
      <c r="F15" t="s">
        <v>33</v>
      </c>
      <c r="G15" t="s">
        <v>50</v>
      </c>
      <c r="H15">
        <v>2017</v>
      </c>
      <c r="I15">
        <v>7</v>
      </c>
      <c r="J15">
        <v>18</v>
      </c>
      <c r="K15">
        <v>0</v>
      </c>
      <c r="L15">
        <v>8</v>
      </c>
      <c r="M15">
        <v>0.51373999999999997</v>
      </c>
      <c r="N15">
        <v>1.323E-2</v>
      </c>
      <c r="O15">
        <v>2.486E-2</v>
      </c>
      <c r="P15" t="s">
        <v>35</v>
      </c>
      <c r="Q15">
        <v>6.9999999999999994E-5</v>
      </c>
      <c r="R15">
        <v>0.10816000000000001</v>
      </c>
      <c r="S15" t="s">
        <v>35</v>
      </c>
      <c r="T15">
        <v>5.8999999999999999E-3</v>
      </c>
      <c r="U15">
        <v>6.096E-2</v>
      </c>
      <c r="V15">
        <v>7.3200000000000001E-3</v>
      </c>
      <c r="W15">
        <v>4.7499999999999999E-3</v>
      </c>
      <c r="X15">
        <v>0.26140999999999998</v>
      </c>
      <c r="Y15">
        <v>2.64E-3</v>
      </c>
      <c r="Z15">
        <v>2.444E-2</v>
      </c>
      <c r="AA15">
        <v>0.11290784399999999</v>
      </c>
      <c r="AB15">
        <v>0.26140939000000002</v>
      </c>
      <c r="AC15">
        <v>6.09646462E-2</v>
      </c>
      <c r="AD15">
        <v>4.5404993999999997E-2</v>
      </c>
      <c r="AE15">
        <v>2.4501359699999999E-2</v>
      </c>
      <c r="AF15">
        <v>8.5503812000000002E-3</v>
      </c>
    </row>
    <row r="16" spans="1:32">
      <c r="A16" t="s">
        <v>31</v>
      </c>
      <c r="B16">
        <v>119972</v>
      </c>
      <c r="C16">
        <v>6589962</v>
      </c>
      <c r="D16">
        <v>655471</v>
      </c>
      <c r="E16" t="s">
        <v>32</v>
      </c>
      <c r="F16" t="s">
        <v>33</v>
      </c>
      <c r="G16" t="s">
        <v>51</v>
      </c>
      <c r="H16">
        <v>2017</v>
      </c>
      <c r="I16">
        <v>8</v>
      </c>
      <c r="J16">
        <v>15</v>
      </c>
      <c r="K16">
        <v>0</v>
      </c>
      <c r="L16">
        <v>8</v>
      </c>
      <c r="M16">
        <v>0.84399000000000002</v>
      </c>
      <c r="N16">
        <v>3.2300000000000002E-2</v>
      </c>
      <c r="O16">
        <v>8.8800000000000007E-3</v>
      </c>
      <c r="P16" t="s">
        <v>35</v>
      </c>
      <c r="Q16" t="s">
        <v>35</v>
      </c>
      <c r="R16">
        <v>0.11531</v>
      </c>
      <c r="S16">
        <v>2.7999999999999998E-4</v>
      </c>
      <c r="T16">
        <v>2.5180000000000001E-2</v>
      </c>
      <c r="U16">
        <v>0.32527</v>
      </c>
      <c r="V16">
        <v>9.6500000000000006E-3</v>
      </c>
      <c r="W16">
        <v>7.4109999999999995E-2</v>
      </c>
      <c r="X16">
        <v>0.21274000000000001</v>
      </c>
      <c r="Y16">
        <v>5.13E-3</v>
      </c>
      <c r="Z16">
        <v>3.5139999999999998E-2</v>
      </c>
      <c r="AA16">
        <v>0.18941671400000001</v>
      </c>
      <c r="AB16">
        <v>0.21273537300000001</v>
      </c>
      <c r="AC16">
        <v>0.32527027040000001</v>
      </c>
      <c r="AD16">
        <v>5.0827420999999998E-2</v>
      </c>
      <c r="AE16">
        <v>6.0154434999999999E-2</v>
      </c>
      <c r="AF16">
        <v>5.5822170000000004E-3</v>
      </c>
    </row>
    <row r="17" spans="1:32">
      <c r="A17" t="s">
        <v>31</v>
      </c>
      <c r="B17">
        <v>119972</v>
      </c>
      <c r="C17">
        <v>6589962</v>
      </c>
      <c r="D17">
        <v>655471</v>
      </c>
      <c r="E17" t="s">
        <v>32</v>
      </c>
      <c r="F17" t="s">
        <v>33</v>
      </c>
      <c r="G17" t="s">
        <v>53</v>
      </c>
      <c r="H17">
        <v>2017</v>
      </c>
      <c r="I17">
        <v>9</v>
      </c>
      <c r="J17">
        <v>14</v>
      </c>
      <c r="K17">
        <v>0</v>
      </c>
      <c r="L17">
        <v>8</v>
      </c>
      <c r="M17">
        <v>1.2190999999999999</v>
      </c>
      <c r="N17">
        <v>1.967E-2</v>
      </c>
      <c r="O17">
        <v>1.7129999999999999E-2</v>
      </c>
      <c r="P17" t="s">
        <v>35</v>
      </c>
      <c r="Q17">
        <v>2.5000000000000001E-4</v>
      </c>
      <c r="R17">
        <v>2.5819999999999999E-2</v>
      </c>
      <c r="S17" t="s">
        <v>35</v>
      </c>
      <c r="T17">
        <v>5.4010000000000002E-2</v>
      </c>
      <c r="U17">
        <v>0.60319</v>
      </c>
      <c r="V17">
        <v>1.438E-2</v>
      </c>
      <c r="W17">
        <v>0.34126000000000001</v>
      </c>
      <c r="X17">
        <v>0.12670000000000001</v>
      </c>
      <c r="Y17">
        <v>2.3E-3</v>
      </c>
      <c r="Z17">
        <v>1.439E-2</v>
      </c>
      <c r="AA17">
        <v>0.36708343999999998</v>
      </c>
      <c r="AB17">
        <v>0.12670414999999999</v>
      </c>
      <c r="AC17">
        <v>0.60318651670000001</v>
      </c>
      <c r="AD17">
        <v>5.1181723999999998E-2</v>
      </c>
      <c r="AE17">
        <v>6.0279514999999999E-2</v>
      </c>
      <c r="AF17">
        <v>1.0663773E-2</v>
      </c>
    </row>
    <row r="18" spans="1:32">
      <c r="A18" t="s">
        <v>31</v>
      </c>
      <c r="B18">
        <v>119972</v>
      </c>
      <c r="C18">
        <v>6589962</v>
      </c>
      <c r="D18">
        <v>655471</v>
      </c>
      <c r="E18" t="s">
        <v>32</v>
      </c>
      <c r="F18" t="s">
        <v>33</v>
      </c>
      <c r="G18" t="s">
        <v>55</v>
      </c>
      <c r="H18">
        <v>2018</v>
      </c>
      <c r="I18">
        <v>4</v>
      </c>
      <c r="J18">
        <v>25</v>
      </c>
      <c r="K18">
        <v>0</v>
      </c>
      <c r="L18">
        <v>8</v>
      </c>
      <c r="M18">
        <v>3.57504</v>
      </c>
      <c r="N18">
        <v>0.12179</v>
      </c>
      <c r="O18">
        <v>2.2939999999999999E-2</v>
      </c>
      <c r="P18" t="s">
        <v>35</v>
      </c>
      <c r="Q18" t="s">
        <v>35</v>
      </c>
      <c r="R18">
        <v>0.44340000000000002</v>
      </c>
      <c r="S18" t="s">
        <v>35</v>
      </c>
      <c r="T18">
        <v>1.0200000000000001E-3</v>
      </c>
      <c r="U18">
        <v>1.8280000000000001E-2</v>
      </c>
      <c r="V18">
        <v>1.583E-2</v>
      </c>
      <c r="W18">
        <v>2.9128699999999998</v>
      </c>
      <c r="X18">
        <v>2.5020000000000001E-2</v>
      </c>
      <c r="Y18">
        <v>1.7000000000000001E-4</v>
      </c>
      <c r="Z18">
        <v>1.372E-2</v>
      </c>
      <c r="AA18">
        <v>3.3562639999999999</v>
      </c>
      <c r="AB18">
        <v>2.5021999999999999E-2</v>
      </c>
      <c r="AC18">
        <v>1.827759E-2</v>
      </c>
      <c r="AD18">
        <v>0.16055900000000001</v>
      </c>
      <c r="AE18">
        <v>9.6202000000000006E-3</v>
      </c>
      <c r="AF18">
        <v>5.2858999999999996E-3</v>
      </c>
    </row>
    <row r="19" spans="1:32">
      <c r="A19" t="s">
        <v>31</v>
      </c>
      <c r="B19">
        <v>119972</v>
      </c>
      <c r="C19">
        <v>6589962</v>
      </c>
      <c r="D19">
        <v>655471</v>
      </c>
      <c r="E19" t="s">
        <v>32</v>
      </c>
      <c r="F19" t="s">
        <v>33</v>
      </c>
      <c r="G19" t="s">
        <v>56</v>
      </c>
      <c r="H19">
        <v>2018</v>
      </c>
      <c r="I19">
        <v>5</v>
      </c>
      <c r="J19">
        <v>14</v>
      </c>
      <c r="K19">
        <v>0</v>
      </c>
      <c r="L19">
        <v>8</v>
      </c>
      <c r="M19">
        <v>1.5583</v>
      </c>
      <c r="N19">
        <v>0.10843999999999999</v>
      </c>
      <c r="O19">
        <v>1.01E-3</v>
      </c>
      <c r="P19" t="s">
        <v>35</v>
      </c>
      <c r="Q19" t="s">
        <v>35</v>
      </c>
      <c r="R19">
        <v>0.10126</v>
      </c>
      <c r="S19" t="s">
        <v>35</v>
      </c>
      <c r="T19">
        <v>2.6689999999999998E-2</v>
      </c>
      <c r="U19">
        <v>7.6699999999999997E-3</v>
      </c>
      <c r="V19">
        <v>8.727E-2</v>
      </c>
      <c r="W19">
        <v>1.01905</v>
      </c>
      <c r="X19">
        <v>0.15010999999999999</v>
      </c>
      <c r="Y19">
        <v>6.7000000000000002E-4</v>
      </c>
      <c r="Z19">
        <v>5.6129999999999999E-2</v>
      </c>
      <c r="AA19">
        <v>1.120312</v>
      </c>
      <c r="AB19">
        <v>0.15010999999999999</v>
      </c>
      <c r="AC19">
        <v>7.6740000000000003E-3</v>
      </c>
      <c r="AD19">
        <v>0.19672000000000001</v>
      </c>
      <c r="AE19">
        <v>3.4393199999999999E-2</v>
      </c>
      <c r="AF19">
        <v>4.9098000000000003E-2</v>
      </c>
    </row>
    <row r="20" spans="1:32">
      <c r="A20" t="s">
        <v>31</v>
      </c>
      <c r="B20">
        <v>119972</v>
      </c>
      <c r="C20">
        <v>6589962</v>
      </c>
      <c r="D20">
        <v>655471</v>
      </c>
      <c r="E20" t="s">
        <v>32</v>
      </c>
      <c r="F20" t="s">
        <v>33</v>
      </c>
      <c r="G20" t="s">
        <v>57</v>
      </c>
      <c r="H20">
        <v>2018</v>
      </c>
      <c r="I20">
        <v>7</v>
      </c>
      <c r="J20">
        <v>18</v>
      </c>
      <c r="K20">
        <v>0</v>
      </c>
      <c r="L20">
        <v>8</v>
      </c>
      <c r="M20">
        <v>1.4376499999999999</v>
      </c>
      <c r="N20">
        <v>1.4500000000000001E-2</v>
      </c>
      <c r="O20">
        <v>5.2399999999999999E-3</v>
      </c>
      <c r="P20" t="s">
        <v>35</v>
      </c>
      <c r="Q20" t="s">
        <v>35</v>
      </c>
      <c r="R20">
        <v>0.11583</v>
      </c>
      <c r="S20">
        <v>6.2899999999999996E-3</v>
      </c>
      <c r="T20">
        <v>3.9460000000000002E-2</v>
      </c>
      <c r="U20">
        <v>3.4099999999999998E-3</v>
      </c>
      <c r="V20">
        <v>1.068E-2</v>
      </c>
      <c r="W20">
        <v>0.37581999999999999</v>
      </c>
      <c r="X20">
        <v>0.85670000000000002</v>
      </c>
      <c r="Y20">
        <v>4.3899999999999998E-3</v>
      </c>
      <c r="Z20">
        <v>5.3299999999999997E-3</v>
      </c>
      <c r="AA20">
        <v>0.49164679999999999</v>
      </c>
      <c r="AB20">
        <v>0.85670000000000002</v>
      </c>
      <c r="AC20">
        <v>3.4098000000000002E-3</v>
      </c>
      <c r="AD20">
        <v>3.0419999999999999E-2</v>
      </c>
      <c r="AE20">
        <v>5.1977200000000001E-2</v>
      </c>
      <c r="AF20">
        <v>3.4889999999999999E-3</v>
      </c>
    </row>
    <row r="21" spans="1:32">
      <c r="A21" t="s">
        <v>31</v>
      </c>
      <c r="B21">
        <v>119972</v>
      </c>
      <c r="C21">
        <v>6589962</v>
      </c>
      <c r="D21">
        <v>655471</v>
      </c>
      <c r="E21" t="s">
        <v>32</v>
      </c>
      <c r="F21" t="s">
        <v>33</v>
      </c>
      <c r="G21" t="s">
        <v>58</v>
      </c>
      <c r="H21">
        <v>2018</v>
      </c>
      <c r="I21">
        <v>8</v>
      </c>
      <c r="J21">
        <v>21</v>
      </c>
      <c r="K21">
        <v>0</v>
      </c>
      <c r="L21">
        <v>8</v>
      </c>
      <c r="M21">
        <v>2.0668699999999998</v>
      </c>
      <c r="N21">
        <v>9.5869999999999997E-2</v>
      </c>
      <c r="O21">
        <v>3.3999999999999998E-3</v>
      </c>
      <c r="P21" t="s">
        <v>35</v>
      </c>
      <c r="Q21" t="s">
        <v>35</v>
      </c>
      <c r="R21">
        <v>0.19062999999999999</v>
      </c>
      <c r="S21" t="s">
        <v>35</v>
      </c>
      <c r="T21">
        <v>0.10452</v>
      </c>
      <c r="U21">
        <v>1.169</v>
      </c>
      <c r="V21">
        <v>1.013E-2</v>
      </c>
      <c r="W21">
        <v>0.22766</v>
      </c>
      <c r="X21">
        <v>0.1822</v>
      </c>
      <c r="Y21">
        <v>1.4670000000000001E-2</v>
      </c>
      <c r="Z21">
        <v>6.8790000000000004E-2</v>
      </c>
      <c r="AA21">
        <v>0.418296</v>
      </c>
      <c r="AB21">
        <v>0.1822</v>
      </c>
      <c r="AC21">
        <v>1.1689955000000001</v>
      </c>
      <c r="AD21">
        <v>0.109393</v>
      </c>
      <c r="AE21">
        <v>0.1220233</v>
      </c>
      <c r="AF21">
        <v>6.5958000000000003E-2</v>
      </c>
    </row>
    <row r="22" spans="1:32">
      <c r="A22" t="s">
        <v>31</v>
      </c>
      <c r="B22">
        <v>119972</v>
      </c>
      <c r="C22">
        <v>6589962</v>
      </c>
      <c r="D22">
        <v>655471</v>
      </c>
      <c r="E22" t="s">
        <v>32</v>
      </c>
      <c r="F22" t="s">
        <v>33</v>
      </c>
      <c r="G22" t="s">
        <v>59</v>
      </c>
      <c r="H22">
        <v>2018</v>
      </c>
      <c r="I22">
        <v>9</v>
      </c>
      <c r="J22">
        <v>17</v>
      </c>
      <c r="K22">
        <v>0</v>
      </c>
      <c r="L22">
        <v>8</v>
      </c>
      <c r="M22">
        <v>2.4158399999999998</v>
      </c>
      <c r="N22">
        <v>0.16284000000000001</v>
      </c>
      <c r="O22">
        <v>2.299E-2</v>
      </c>
      <c r="P22" t="s">
        <v>35</v>
      </c>
      <c r="Q22" t="s">
        <v>35</v>
      </c>
      <c r="R22">
        <v>0.1983</v>
      </c>
      <c r="S22" t="s">
        <v>35</v>
      </c>
      <c r="T22">
        <v>4.8379999999999999E-2</v>
      </c>
      <c r="U22">
        <v>1.0282500000000001</v>
      </c>
      <c r="V22">
        <v>3.5810000000000002E-2</v>
      </c>
      <c r="W22">
        <v>0.50658000000000003</v>
      </c>
      <c r="X22">
        <v>0.32145000000000001</v>
      </c>
      <c r="Y22">
        <v>6.7559999999999995E-2</v>
      </c>
      <c r="Z22">
        <v>2.368E-2</v>
      </c>
      <c r="AA22">
        <v>0.70488200000000001</v>
      </c>
      <c r="AB22">
        <v>0.32145000000000001</v>
      </c>
      <c r="AC22">
        <v>1.0282486</v>
      </c>
      <c r="AD22">
        <v>0.22164900000000001</v>
      </c>
      <c r="AE22">
        <v>0.12721470000000001</v>
      </c>
      <c r="AF22">
        <v>1.2394000000000001E-2</v>
      </c>
    </row>
    <row r="23" spans="1:32">
      <c r="A23" t="s">
        <v>31</v>
      </c>
      <c r="B23">
        <v>119972</v>
      </c>
      <c r="C23">
        <v>6589962</v>
      </c>
      <c r="D23">
        <v>655471</v>
      </c>
      <c r="E23" t="s">
        <v>32</v>
      </c>
      <c r="F23" t="s">
        <v>33</v>
      </c>
      <c r="G23" t="s">
        <v>61</v>
      </c>
      <c r="H23">
        <v>2019</v>
      </c>
      <c r="I23">
        <v>4</v>
      </c>
      <c r="J23">
        <v>24</v>
      </c>
      <c r="K23">
        <v>0</v>
      </c>
      <c r="L23">
        <v>8</v>
      </c>
      <c r="M23">
        <v>7.5844900000000006</v>
      </c>
      <c r="N23">
        <v>3.3570000000000003E-2</v>
      </c>
      <c r="O23">
        <v>2.5250000000000002E-2</v>
      </c>
      <c r="P23" t="s">
        <v>35</v>
      </c>
      <c r="Q23" t="s">
        <v>35</v>
      </c>
      <c r="R23">
        <v>0.96699000000000002</v>
      </c>
      <c r="S23" t="s">
        <v>35</v>
      </c>
      <c r="T23">
        <v>3.6900000000000001E-3</v>
      </c>
      <c r="U23">
        <v>2.6199999999999999E-3</v>
      </c>
      <c r="V23">
        <v>1.8079999999999999E-2</v>
      </c>
      <c r="W23">
        <v>6.4407800000000002</v>
      </c>
      <c r="X23">
        <v>7.8479999999999994E-2</v>
      </c>
      <c r="Y23">
        <v>1.8699999999999999E-3</v>
      </c>
      <c r="Z23">
        <v>1.316E-2</v>
      </c>
      <c r="AA23">
        <v>7.4077697000000002</v>
      </c>
      <c r="AB23">
        <v>7.8480999999999995E-2</v>
      </c>
      <c r="AC23">
        <v>2.6202E-3</v>
      </c>
      <c r="AD23">
        <v>7.6900990000000002E-2</v>
      </c>
      <c r="AE23">
        <v>1.0833580000000001E-2</v>
      </c>
      <c r="AF23">
        <v>7.8811999999999997E-3</v>
      </c>
    </row>
    <row r="24" spans="1:32">
      <c r="A24" t="s">
        <v>31</v>
      </c>
      <c r="B24">
        <v>119972</v>
      </c>
      <c r="C24">
        <v>6589962</v>
      </c>
      <c r="D24">
        <v>655471</v>
      </c>
      <c r="E24" t="s">
        <v>32</v>
      </c>
      <c r="F24" t="s">
        <v>33</v>
      </c>
      <c r="G24" t="s">
        <v>62</v>
      </c>
      <c r="H24">
        <v>2019</v>
      </c>
      <c r="I24">
        <v>5</v>
      </c>
      <c r="J24">
        <v>20</v>
      </c>
      <c r="K24">
        <v>0</v>
      </c>
      <c r="L24">
        <v>8</v>
      </c>
      <c r="M24">
        <v>1.3054800000000002</v>
      </c>
      <c r="N24">
        <v>3.2919999999999998E-2</v>
      </c>
      <c r="O24" t="s">
        <v>35</v>
      </c>
      <c r="P24" t="s">
        <v>35</v>
      </c>
      <c r="Q24" t="s">
        <v>35</v>
      </c>
      <c r="R24">
        <v>0.12564</v>
      </c>
      <c r="S24" t="s">
        <v>35</v>
      </c>
      <c r="T24">
        <v>1.052E-2</v>
      </c>
      <c r="U24">
        <v>2.052E-2</v>
      </c>
      <c r="V24">
        <v>1.5610000000000001E-2</v>
      </c>
      <c r="W24">
        <v>0.93706</v>
      </c>
      <c r="X24">
        <v>0.1361</v>
      </c>
      <c r="Y24">
        <v>1.6000000000000001E-4</v>
      </c>
      <c r="Z24">
        <v>2.6950000000000002E-2</v>
      </c>
      <c r="AA24">
        <v>1.0627070000000001</v>
      </c>
      <c r="AB24">
        <v>0.136102</v>
      </c>
      <c r="AC24">
        <v>2.0524926999999998E-2</v>
      </c>
      <c r="AD24">
        <v>4.8531959999999999E-2</v>
      </c>
      <c r="AE24">
        <v>1.81347E-2</v>
      </c>
      <c r="AF24">
        <v>1.95E-2</v>
      </c>
    </row>
    <row r="25" spans="1:32">
      <c r="A25" t="s">
        <v>31</v>
      </c>
      <c r="B25">
        <v>119972</v>
      </c>
      <c r="C25">
        <v>6589962</v>
      </c>
      <c r="D25">
        <v>655471</v>
      </c>
      <c r="E25" t="s">
        <v>32</v>
      </c>
      <c r="F25" t="s">
        <v>33</v>
      </c>
      <c r="G25" t="s">
        <v>63</v>
      </c>
      <c r="H25">
        <v>2019</v>
      </c>
      <c r="I25">
        <v>7</v>
      </c>
      <c r="J25">
        <v>17</v>
      </c>
      <c r="K25">
        <v>0</v>
      </c>
      <c r="L25">
        <v>8</v>
      </c>
      <c r="M25">
        <v>0.8719800000000002</v>
      </c>
      <c r="N25">
        <v>3.456E-2</v>
      </c>
      <c r="O25">
        <v>1.3899999999999999E-2</v>
      </c>
      <c r="P25" t="s">
        <v>35</v>
      </c>
      <c r="Q25" t="s">
        <v>35</v>
      </c>
      <c r="R25">
        <v>0.15579999999999999</v>
      </c>
      <c r="S25" t="s">
        <v>35</v>
      </c>
      <c r="T25">
        <v>4.8930000000000001E-2</v>
      </c>
      <c r="U25">
        <v>5.0699999999999999E-3</v>
      </c>
      <c r="V25">
        <v>1.167E-2</v>
      </c>
      <c r="W25">
        <v>0.2767</v>
      </c>
      <c r="X25">
        <v>0.28175</v>
      </c>
      <c r="Y25">
        <v>6.9699999999999996E-3</v>
      </c>
      <c r="Z25">
        <v>3.6630000000000003E-2</v>
      </c>
      <c r="AA25">
        <v>0.43250554000000002</v>
      </c>
      <c r="AB25">
        <v>0.28175</v>
      </c>
      <c r="AC25">
        <v>5.0702000000000004E-3</v>
      </c>
      <c r="AD25">
        <v>6.0127439999999997E-2</v>
      </c>
      <c r="AE25">
        <v>6.86195E-2</v>
      </c>
      <c r="AF25">
        <v>2.3906E-2</v>
      </c>
    </row>
    <row r="26" spans="1:32">
      <c r="A26" t="s">
        <v>31</v>
      </c>
      <c r="B26">
        <v>119972</v>
      </c>
      <c r="C26">
        <v>6589962</v>
      </c>
      <c r="D26">
        <v>655471</v>
      </c>
      <c r="E26" t="s">
        <v>32</v>
      </c>
      <c r="F26" t="s">
        <v>33</v>
      </c>
      <c r="G26" t="s">
        <v>64</v>
      </c>
      <c r="H26">
        <v>2019</v>
      </c>
      <c r="I26">
        <v>8</v>
      </c>
      <c r="J26">
        <v>5</v>
      </c>
      <c r="K26">
        <v>0</v>
      </c>
      <c r="L26">
        <v>8</v>
      </c>
      <c r="M26">
        <v>1.2538100000000001</v>
      </c>
      <c r="N26">
        <v>2.623E-2</v>
      </c>
      <c r="O26">
        <v>4.8520000000000001E-2</v>
      </c>
      <c r="P26" t="s">
        <v>35</v>
      </c>
      <c r="Q26" t="s">
        <v>35</v>
      </c>
      <c r="R26">
        <v>0.15459000000000001</v>
      </c>
      <c r="S26" t="s">
        <v>35</v>
      </c>
      <c r="T26">
        <v>0.10727</v>
      </c>
      <c r="U26">
        <v>1.154E-2</v>
      </c>
      <c r="V26">
        <v>8.4100000000000008E-3</v>
      </c>
      <c r="W26">
        <v>0.44217000000000001</v>
      </c>
      <c r="X26">
        <v>0.41436000000000001</v>
      </c>
      <c r="Y26">
        <v>1.329E-2</v>
      </c>
      <c r="Z26">
        <v>2.743E-2</v>
      </c>
      <c r="AA26">
        <v>0.59675920000000005</v>
      </c>
      <c r="AB26">
        <v>0.41436000000000001</v>
      </c>
      <c r="AC26">
        <v>1.1538700000000001E-2</v>
      </c>
      <c r="AD26">
        <v>8.3163000000000001E-2</v>
      </c>
      <c r="AE26">
        <v>0.1233857</v>
      </c>
      <c r="AF26">
        <v>2.4611000000000001E-2</v>
      </c>
    </row>
    <row r="27" spans="1:32">
      <c r="A27" t="s">
        <v>31</v>
      </c>
      <c r="B27">
        <v>119972</v>
      </c>
      <c r="C27">
        <v>6589962</v>
      </c>
      <c r="D27">
        <v>655471</v>
      </c>
      <c r="E27" t="s">
        <v>32</v>
      </c>
      <c r="F27" t="s">
        <v>33</v>
      </c>
      <c r="G27" t="s">
        <v>66</v>
      </c>
      <c r="H27">
        <v>2019</v>
      </c>
      <c r="I27">
        <v>9</v>
      </c>
      <c r="J27">
        <v>25</v>
      </c>
      <c r="K27">
        <v>0</v>
      </c>
      <c r="L27">
        <v>8</v>
      </c>
      <c r="M27">
        <v>2.2461699999999998</v>
      </c>
      <c r="N27">
        <v>5.8999999999999997E-2</v>
      </c>
      <c r="O27">
        <v>3.814E-2</v>
      </c>
      <c r="P27" t="s">
        <v>35</v>
      </c>
      <c r="Q27" t="s">
        <v>35</v>
      </c>
      <c r="R27">
        <v>9.6140000000000003E-2</v>
      </c>
      <c r="S27" t="s">
        <v>35</v>
      </c>
      <c r="T27">
        <v>6.0859999999999997E-2</v>
      </c>
      <c r="U27">
        <v>1.35764</v>
      </c>
      <c r="V27">
        <v>9.3799999999999994E-3</v>
      </c>
      <c r="W27">
        <v>0.33771000000000001</v>
      </c>
      <c r="X27">
        <v>0.20473</v>
      </c>
      <c r="Y27">
        <v>3.6389999999999999E-2</v>
      </c>
      <c r="Z27">
        <v>4.6179999999999999E-2</v>
      </c>
      <c r="AA27">
        <v>0.43385200000000002</v>
      </c>
      <c r="AB27">
        <v>0.20473</v>
      </c>
      <c r="AC27">
        <v>1.35763973</v>
      </c>
      <c r="AD27">
        <v>0.10651444</v>
      </c>
      <c r="AE27">
        <v>0.10732412</v>
      </c>
      <c r="AF27">
        <v>3.6096000000000003E-2</v>
      </c>
    </row>
    <row r="28" spans="1:32">
      <c r="A28" t="s">
        <v>31</v>
      </c>
      <c r="B28">
        <v>119972</v>
      </c>
      <c r="C28">
        <v>6589962</v>
      </c>
      <c r="D28">
        <v>655471</v>
      </c>
      <c r="E28" t="s">
        <v>32</v>
      </c>
      <c r="F28" t="s">
        <v>33</v>
      </c>
      <c r="G28" t="s">
        <v>68</v>
      </c>
      <c r="H28">
        <v>2020</v>
      </c>
      <c r="I28">
        <v>4</v>
      </c>
      <c r="J28">
        <v>22</v>
      </c>
      <c r="K28">
        <v>0</v>
      </c>
      <c r="L28">
        <v>8</v>
      </c>
      <c r="M28">
        <v>7.5354400000000004</v>
      </c>
      <c r="N28">
        <v>3.5279999999999999E-2</v>
      </c>
      <c r="O28">
        <v>2.4000000000000001E-4</v>
      </c>
      <c r="P28" t="s">
        <v>35</v>
      </c>
      <c r="Q28">
        <v>3.6999999999999999E-4</v>
      </c>
      <c r="R28">
        <v>3.0509999999999999E-2</v>
      </c>
      <c r="S28" t="s">
        <v>35</v>
      </c>
      <c r="T28">
        <v>1.184E-2</v>
      </c>
      <c r="U28">
        <v>1.7919999999999998E-2</v>
      </c>
      <c r="V28">
        <v>9.0799999999999995E-3</v>
      </c>
      <c r="W28">
        <v>7.05809</v>
      </c>
      <c r="X28">
        <v>0.2162</v>
      </c>
      <c r="Y28">
        <v>3.5E-4</v>
      </c>
      <c r="Z28">
        <v>0.15556</v>
      </c>
      <c r="AA28">
        <v>7.0885923999999996</v>
      </c>
      <c r="AB28">
        <v>0.21620300000000001</v>
      </c>
      <c r="AC28">
        <v>1.7918570000000002E-2</v>
      </c>
      <c r="AD28">
        <v>4.4592300000000001E-2</v>
      </c>
      <c r="AE28">
        <v>0.1394801</v>
      </c>
      <c r="AF28">
        <v>2.8640499999999999E-2</v>
      </c>
    </row>
    <row r="29" spans="1:32">
      <c r="A29" t="s">
        <v>31</v>
      </c>
      <c r="B29">
        <v>119972</v>
      </c>
      <c r="C29">
        <v>6589962</v>
      </c>
      <c r="D29">
        <v>655471</v>
      </c>
      <c r="E29" t="s">
        <v>32</v>
      </c>
      <c r="F29" t="s">
        <v>33</v>
      </c>
      <c r="G29" t="s">
        <v>69</v>
      </c>
      <c r="H29">
        <v>2020</v>
      </c>
      <c r="I29">
        <v>5</v>
      </c>
      <c r="J29">
        <v>25</v>
      </c>
      <c r="K29">
        <v>0</v>
      </c>
      <c r="L29">
        <v>8</v>
      </c>
      <c r="M29">
        <v>0.86244999999999994</v>
      </c>
      <c r="N29">
        <v>0.1134</v>
      </c>
      <c r="O29" t="s">
        <v>35</v>
      </c>
      <c r="P29" t="s">
        <v>35</v>
      </c>
      <c r="Q29" t="s">
        <v>35</v>
      </c>
      <c r="R29">
        <v>0.10893</v>
      </c>
      <c r="S29" t="s">
        <v>35</v>
      </c>
      <c r="T29">
        <v>9.0249999999999997E-2</v>
      </c>
      <c r="U29">
        <v>7.6299999999999996E-3</v>
      </c>
      <c r="V29">
        <v>5.2500000000000003E-3</v>
      </c>
      <c r="W29">
        <v>0.13375999999999999</v>
      </c>
      <c r="X29">
        <v>0.35486000000000001</v>
      </c>
      <c r="Y29" t="s">
        <v>35</v>
      </c>
      <c r="Z29">
        <v>4.8370000000000003E-2</v>
      </c>
      <c r="AA29">
        <v>0.2426934</v>
      </c>
      <c r="AB29">
        <v>0.35486000000000001</v>
      </c>
      <c r="AC29">
        <v>7.6298E-3</v>
      </c>
      <c r="AD29">
        <v>0.118647</v>
      </c>
      <c r="AE29">
        <v>0.1209732</v>
      </c>
      <c r="AF29">
        <v>1.7653200000000001E-2</v>
      </c>
    </row>
    <row r="30" spans="1:32">
      <c r="A30" t="s">
        <v>31</v>
      </c>
      <c r="B30">
        <v>119972</v>
      </c>
      <c r="C30">
        <v>6589962</v>
      </c>
      <c r="D30">
        <v>655471</v>
      </c>
      <c r="E30" t="s">
        <v>32</v>
      </c>
      <c r="F30" t="s">
        <v>33</v>
      </c>
      <c r="G30" t="s">
        <v>70</v>
      </c>
      <c r="H30">
        <v>2020</v>
      </c>
      <c r="I30">
        <v>7</v>
      </c>
      <c r="J30">
        <v>22</v>
      </c>
      <c r="K30">
        <v>0</v>
      </c>
      <c r="L30">
        <v>8</v>
      </c>
      <c r="M30">
        <v>0.70450000000000002</v>
      </c>
      <c r="N30">
        <v>6.9699999999999996E-3</v>
      </c>
      <c r="O30">
        <v>2.8539999999999999E-2</v>
      </c>
      <c r="P30" t="s">
        <v>35</v>
      </c>
      <c r="Q30" t="s">
        <v>35</v>
      </c>
      <c r="R30">
        <v>0.19239000000000001</v>
      </c>
      <c r="S30" t="s">
        <v>35</v>
      </c>
      <c r="T30">
        <v>3.2699999999999999E-3</v>
      </c>
      <c r="U30">
        <v>2.6199999999999999E-3</v>
      </c>
      <c r="V30">
        <v>1.48E-3</v>
      </c>
      <c r="W30">
        <v>2.3560000000000001E-2</v>
      </c>
      <c r="X30">
        <v>0.42386000000000001</v>
      </c>
      <c r="Y30">
        <v>4.5199999999999997E-3</v>
      </c>
      <c r="Z30">
        <v>1.729E-2</v>
      </c>
      <c r="AA30">
        <v>0.21594669999999999</v>
      </c>
      <c r="AB30">
        <v>0.42386000000000001</v>
      </c>
      <c r="AC30">
        <v>2.6220000000000002E-3</v>
      </c>
      <c r="AD30">
        <v>3.69933E-2</v>
      </c>
      <c r="AE30">
        <v>1.11316E-2</v>
      </c>
      <c r="AF30">
        <v>1.3950000000000001E-2</v>
      </c>
    </row>
    <row r="31" spans="1:32">
      <c r="A31" t="s">
        <v>31</v>
      </c>
      <c r="B31">
        <v>119972</v>
      </c>
      <c r="C31">
        <v>6589962</v>
      </c>
      <c r="D31">
        <v>655471</v>
      </c>
      <c r="E31" t="s">
        <v>32</v>
      </c>
      <c r="F31" t="s">
        <v>33</v>
      </c>
      <c r="G31" t="s">
        <v>71</v>
      </c>
      <c r="H31">
        <v>2020</v>
      </c>
      <c r="I31">
        <v>8</v>
      </c>
      <c r="J31">
        <v>18</v>
      </c>
      <c r="K31">
        <v>0</v>
      </c>
      <c r="L31">
        <v>8</v>
      </c>
      <c r="M31">
        <v>0.80768999999999991</v>
      </c>
      <c r="N31">
        <v>2.5579999999999999E-2</v>
      </c>
      <c r="O31">
        <v>6.2199999999999998E-3</v>
      </c>
      <c r="P31" t="s">
        <v>35</v>
      </c>
      <c r="Q31" t="s">
        <v>35</v>
      </c>
      <c r="R31">
        <v>0.20926</v>
      </c>
      <c r="S31" t="s">
        <v>35</v>
      </c>
      <c r="T31">
        <v>2.6800000000000001E-2</v>
      </c>
      <c r="U31">
        <v>9.1700000000000004E-2</v>
      </c>
      <c r="V31">
        <v>1.7149999999999999E-2</v>
      </c>
      <c r="W31">
        <v>0.32640999999999998</v>
      </c>
      <c r="X31">
        <v>7.5939999999999994E-2</v>
      </c>
      <c r="Y31">
        <v>1.357E-2</v>
      </c>
      <c r="Z31">
        <v>1.506E-2</v>
      </c>
      <c r="AA31">
        <v>0.53567200000000004</v>
      </c>
      <c r="AB31">
        <v>7.5936000000000003E-2</v>
      </c>
      <c r="AC31">
        <v>9.1696200000000005E-2</v>
      </c>
      <c r="AD31">
        <v>4.8955499999999999E-2</v>
      </c>
      <c r="AE31">
        <v>4.7181099999999997E-2</v>
      </c>
      <c r="AF31">
        <v>8.2410000000000001E-3</v>
      </c>
    </row>
    <row r="32" spans="1:32">
      <c r="A32" t="s">
        <v>31</v>
      </c>
      <c r="B32">
        <v>119972</v>
      </c>
      <c r="C32">
        <v>6589962</v>
      </c>
      <c r="D32">
        <v>655471</v>
      </c>
      <c r="E32" t="s">
        <v>32</v>
      </c>
      <c r="F32" t="s">
        <v>33</v>
      </c>
      <c r="G32" t="s">
        <v>72</v>
      </c>
      <c r="H32">
        <v>2020</v>
      </c>
      <c r="I32">
        <v>9</v>
      </c>
      <c r="J32">
        <v>15</v>
      </c>
      <c r="K32">
        <v>0</v>
      </c>
      <c r="L32">
        <v>8</v>
      </c>
      <c r="M32">
        <v>2.0492100000000004</v>
      </c>
      <c r="N32">
        <v>5.9670000000000001E-2</v>
      </c>
      <c r="O32">
        <v>3.2969999999999999E-2</v>
      </c>
      <c r="P32">
        <v>4.7299999999999998E-3</v>
      </c>
      <c r="Q32" t="s">
        <v>35</v>
      </c>
      <c r="R32">
        <v>0.13189999999999999</v>
      </c>
      <c r="S32">
        <v>7.7249999999999999E-2</v>
      </c>
      <c r="T32">
        <v>3.4479999999999997E-2</v>
      </c>
      <c r="U32">
        <v>1.3366100000000001</v>
      </c>
      <c r="V32">
        <v>1.3639999999999999E-2</v>
      </c>
      <c r="W32">
        <v>0.20249</v>
      </c>
      <c r="X32">
        <v>0.12197</v>
      </c>
      <c r="Y32">
        <v>3.8999999999999999E-4</v>
      </c>
      <c r="Z32">
        <v>3.3110000000000001E-2</v>
      </c>
      <c r="AA32">
        <v>0.33438299999999999</v>
      </c>
      <c r="AB32">
        <v>0.12197</v>
      </c>
      <c r="AC32">
        <v>1.336614</v>
      </c>
      <c r="AD32">
        <v>0.11100790000000001</v>
      </c>
      <c r="AE32">
        <v>0.12756880000000001</v>
      </c>
      <c r="AF32">
        <v>1.7663399999999999E-2</v>
      </c>
    </row>
    <row r="33" spans="1:32">
      <c r="A33" t="s">
        <v>31</v>
      </c>
      <c r="B33">
        <v>119972</v>
      </c>
      <c r="C33">
        <v>6589962</v>
      </c>
      <c r="D33">
        <v>655471</v>
      </c>
      <c r="E33" t="s">
        <v>32</v>
      </c>
      <c r="F33" t="s">
        <v>33</v>
      </c>
      <c r="G33" t="s">
        <v>74</v>
      </c>
      <c r="H33">
        <v>2021</v>
      </c>
      <c r="I33">
        <v>4</v>
      </c>
      <c r="J33">
        <v>21</v>
      </c>
      <c r="K33">
        <v>0</v>
      </c>
      <c r="L33">
        <v>8</v>
      </c>
      <c r="M33">
        <v>11.144310000000001</v>
      </c>
      <c r="N33">
        <v>3.637E-2</v>
      </c>
      <c r="O33">
        <v>4.8999999999999998E-4</v>
      </c>
      <c r="P33" t="s">
        <v>35</v>
      </c>
      <c r="Q33">
        <v>9.0000000000000006E-5</v>
      </c>
      <c r="R33">
        <v>0.17505999999999999</v>
      </c>
      <c r="S33" t="s">
        <v>35</v>
      </c>
      <c r="T33">
        <v>2.4499999999999999E-3</v>
      </c>
      <c r="U33">
        <v>1.519E-2</v>
      </c>
      <c r="V33">
        <v>1.6209999999999999E-2</v>
      </c>
      <c r="W33">
        <v>10.82761</v>
      </c>
      <c r="X33">
        <v>5.8029999999999998E-2</v>
      </c>
      <c r="Y33">
        <v>6.8999999999999997E-4</v>
      </c>
      <c r="Z33">
        <v>1.2120000000000001E-2</v>
      </c>
      <c r="AA33">
        <v>11.002659700000001</v>
      </c>
      <c r="AB33">
        <v>5.8020700000000001E-2</v>
      </c>
      <c r="AC33">
        <v>1.519E-2</v>
      </c>
      <c r="AD33">
        <v>5.3071399999999998E-2</v>
      </c>
      <c r="AE33">
        <v>5.8438099999999996E-3</v>
      </c>
      <c r="AF33">
        <v>9.5127700000000003E-3</v>
      </c>
    </row>
    <row r="34" spans="1:32">
      <c r="A34" t="s">
        <v>31</v>
      </c>
      <c r="B34">
        <v>119972</v>
      </c>
      <c r="C34">
        <v>6589962</v>
      </c>
      <c r="D34">
        <v>655471</v>
      </c>
      <c r="E34" t="s">
        <v>32</v>
      </c>
      <c r="F34" t="s">
        <v>33</v>
      </c>
      <c r="G34" t="s">
        <v>75</v>
      </c>
      <c r="H34">
        <v>2021</v>
      </c>
      <c r="I34">
        <v>5</v>
      </c>
      <c r="J34">
        <v>18</v>
      </c>
      <c r="K34">
        <v>0</v>
      </c>
      <c r="L34">
        <v>8</v>
      </c>
      <c r="M34">
        <v>1.5824499999999999</v>
      </c>
      <c r="N34">
        <v>4.206E-2</v>
      </c>
      <c r="O34" t="s">
        <v>35</v>
      </c>
      <c r="P34" t="s">
        <v>35</v>
      </c>
      <c r="Q34" t="s">
        <v>35</v>
      </c>
      <c r="R34">
        <v>0.14859</v>
      </c>
      <c r="S34" t="s">
        <v>35</v>
      </c>
      <c r="T34">
        <v>2.2599999999999999E-3</v>
      </c>
      <c r="U34">
        <v>1.6660000000000001E-2</v>
      </c>
      <c r="V34">
        <v>6.3400000000000001E-3</v>
      </c>
      <c r="W34">
        <v>1.1966399999999999</v>
      </c>
      <c r="X34">
        <v>0.14546999999999999</v>
      </c>
      <c r="Y34">
        <v>2.3400000000000001E-3</v>
      </c>
      <c r="Z34">
        <v>2.2089999999999999E-2</v>
      </c>
      <c r="AA34">
        <v>1.345232</v>
      </c>
      <c r="AB34">
        <v>0.14546999999999999</v>
      </c>
      <c r="AC34">
        <v>1.6660000000000001E-2</v>
      </c>
      <c r="AD34">
        <v>4.8397999999999997E-2</v>
      </c>
      <c r="AE34">
        <v>2.1126300000000001E-2</v>
      </c>
      <c r="AF34">
        <v>5.5620000000000001E-3</v>
      </c>
    </row>
    <row r="35" spans="1:32">
      <c r="A35" t="s">
        <v>31</v>
      </c>
      <c r="B35">
        <v>119972</v>
      </c>
      <c r="C35">
        <v>6589962</v>
      </c>
      <c r="D35">
        <v>655471</v>
      </c>
      <c r="E35" t="s">
        <v>32</v>
      </c>
      <c r="F35" t="s">
        <v>33</v>
      </c>
      <c r="G35" t="s">
        <v>76</v>
      </c>
      <c r="H35">
        <v>2021</v>
      </c>
      <c r="I35">
        <v>7</v>
      </c>
      <c r="J35">
        <v>21</v>
      </c>
      <c r="K35">
        <v>0</v>
      </c>
      <c r="L35">
        <v>8</v>
      </c>
      <c r="M35">
        <v>1.51206</v>
      </c>
      <c r="N35">
        <v>7.7560000000000004E-2</v>
      </c>
      <c r="O35">
        <v>2.0400000000000001E-3</v>
      </c>
      <c r="P35" t="s">
        <v>35</v>
      </c>
      <c r="Q35" t="s">
        <v>35</v>
      </c>
      <c r="R35">
        <v>7.0790000000000006E-2</v>
      </c>
      <c r="S35" t="s">
        <v>35</v>
      </c>
      <c r="T35">
        <v>2.7480000000000001E-2</v>
      </c>
      <c r="U35">
        <v>0.51676999999999995</v>
      </c>
      <c r="V35">
        <v>2.777E-2</v>
      </c>
      <c r="W35">
        <v>0.15473000000000001</v>
      </c>
      <c r="X35">
        <v>0.56220000000000003</v>
      </c>
      <c r="Y35">
        <v>2.0600000000000002E-3</v>
      </c>
      <c r="Z35">
        <v>7.0660000000000001E-2</v>
      </c>
      <c r="AA35">
        <v>0.225524</v>
      </c>
      <c r="AB35">
        <v>0.562195</v>
      </c>
      <c r="AC35">
        <v>0.51677249999999997</v>
      </c>
      <c r="AD35">
        <v>0.10736900000000001</v>
      </c>
      <c r="AE35">
        <v>6.3254599999999994E-2</v>
      </c>
      <c r="AF35">
        <v>3.6949999999999997E-2</v>
      </c>
    </row>
    <row r="36" spans="1:32">
      <c r="A36" t="s">
        <v>31</v>
      </c>
      <c r="B36">
        <v>119972</v>
      </c>
      <c r="C36">
        <v>6589962</v>
      </c>
      <c r="D36">
        <v>655471</v>
      </c>
      <c r="E36" t="s">
        <v>32</v>
      </c>
      <c r="F36" t="s">
        <v>33</v>
      </c>
      <c r="G36" t="s">
        <v>77</v>
      </c>
      <c r="H36">
        <v>2021</v>
      </c>
      <c r="I36">
        <v>8</v>
      </c>
      <c r="J36">
        <v>16</v>
      </c>
      <c r="K36">
        <v>0</v>
      </c>
      <c r="L36">
        <v>8</v>
      </c>
      <c r="M36">
        <v>2.0866699999999998</v>
      </c>
      <c r="N36">
        <v>2.998E-2</v>
      </c>
      <c r="O36">
        <v>1.9650000000000001E-2</v>
      </c>
      <c r="P36" t="s">
        <v>35</v>
      </c>
      <c r="Q36" t="s">
        <v>35</v>
      </c>
      <c r="R36">
        <v>0.27679999999999999</v>
      </c>
      <c r="S36" t="s">
        <v>35</v>
      </c>
      <c r="T36">
        <v>3.6519999999999997E-2</v>
      </c>
      <c r="U36">
        <v>1.05518</v>
      </c>
      <c r="V36">
        <v>4.0200000000000001E-3</v>
      </c>
      <c r="W36">
        <v>0.47537000000000001</v>
      </c>
      <c r="X36">
        <v>0.11887</v>
      </c>
      <c r="Y36">
        <v>1.1259999999999999E-2</v>
      </c>
      <c r="Z36">
        <v>5.9020000000000003E-2</v>
      </c>
      <c r="AA36">
        <v>0.75216499999999997</v>
      </c>
      <c r="AB36">
        <v>0.11887200000000001</v>
      </c>
      <c r="AC36">
        <v>1.0551780100000001</v>
      </c>
      <c r="AD36">
        <v>5.3644999999999998E-2</v>
      </c>
      <c r="AE36">
        <v>7.3444599999999999E-2</v>
      </c>
      <c r="AF36">
        <v>3.3343999999999999E-2</v>
      </c>
    </row>
    <row r="37" spans="1:32">
      <c r="A37" t="s">
        <v>31</v>
      </c>
      <c r="B37">
        <v>119972</v>
      </c>
      <c r="C37">
        <v>6589962</v>
      </c>
      <c r="D37">
        <v>655471</v>
      </c>
      <c r="E37" t="s">
        <v>32</v>
      </c>
      <c r="F37" t="s">
        <v>33</v>
      </c>
      <c r="G37" t="s">
        <v>78</v>
      </c>
      <c r="H37">
        <v>2021</v>
      </c>
      <c r="I37">
        <v>9</v>
      </c>
      <c r="J37">
        <v>8</v>
      </c>
      <c r="K37">
        <v>0</v>
      </c>
      <c r="L37">
        <v>8</v>
      </c>
      <c r="M37">
        <v>2.6580299999999992</v>
      </c>
      <c r="N37">
        <v>3.4709999999999998E-2</v>
      </c>
      <c r="O37">
        <v>1.24E-2</v>
      </c>
      <c r="P37" t="s">
        <v>35</v>
      </c>
      <c r="Q37" t="s">
        <v>35</v>
      </c>
      <c r="R37">
        <v>5.5559999999999998E-2</v>
      </c>
      <c r="S37" t="s">
        <v>35</v>
      </c>
      <c r="T37">
        <v>4.5100000000000001E-2</v>
      </c>
      <c r="U37">
        <v>1.97845</v>
      </c>
      <c r="V37">
        <v>1.299E-2</v>
      </c>
      <c r="W37">
        <v>0.40550000000000003</v>
      </c>
      <c r="X37">
        <v>6.3420000000000004E-2</v>
      </c>
      <c r="Y37">
        <v>8.2400000000000008E-3</v>
      </c>
      <c r="Z37">
        <v>4.1660000000000003E-2</v>
      </c>
      <c r="AA37">
        <v>0.46106330000000001</v>
      </c>
      <c r="AB37">
        <v>6.3420000000000004E-2</v>
      </c>
      <c r="AC37">
        <v>1.9784524000000001</v>
      </c>
      <c r="AD37">
        <v>6.0103200000000002E-2</v>
      </c>
      <c r="AE37">
        <v>8.9227200000000007E-2</v>
      </c>
      <c r="AF37">
        <v>5.7730000000000004E-3</v>
      </c>
    </row>
    <row r="38" spans="1:32">
      <c r="A38" t="s">
        <v>31</v>
      </c>
      <c r="B38">
        <v>119972</v>
      </c>
      <c r="C38">
        <v>6589962</v>
      </c>
      <c r="D38">
        <v>655471</v>
      </c>
      <c r="E38" t="s">
        <v>32</v>
      </c>
      <c r="F38" t="s">
        <v>33</v>
      </c>
      <c r="G38" t="s">
        <v>80</v>
      </c>
      <c r="H38">
        <v>2022</v>
      </c>
      <c r="I38">
        <v>4</v>
      </c>
      <c r="J38">
        <v>27</v>
      </c>
      <c r="K38">
        <v>0</v>
      </c>
      <c r="L38">
        <v>8</v>
      </c>
      <c r="M38">
        <v>6.4365200000000007</v>
      </c>
      <c r="N38">
        <v>3.2870000000000003E-2</v>
      </c>
      <c r="O38">
        <v>2.716E-2</v>
      </c>
      <c r="P38" t="s">
        <v>35</v>
      </c>
      <c r="Q38" t="s">
        <v>35</v>
      </c>
      <c r="R38">
        <v>9.6149999999999999E-2</v>
      </c>
      <c r="S38" t="s">
        <v>35</v>
      </c>
      <c r="T38">
        <v>1.7600000000000001E-3</v>
      </c>
      <c r="U38">
        <v>8.1600000000000006E-3</v>
      </c>
      <c r="V38">
        <v>2.1909999999999999E-2</v>
      </c>
      <c r="W38">
        <v>6.1603300000000001</v>
      </c>
      <c r="X38">
        <v>6.7419999999999994E-2</v>
      </c>
      <c r="Y38" t="s">
        <v>35</v>
      </c>
      <c r="Z38">
        <v>2.0760000000000001E-2</v>
      </c>
      <c r="AA38">
        <v>6.2564840000000004</v>
      </c>
      <c r="AB38">
        <v>6.7424999999999999E-2</v>
      </c>
      <c r="AC38">
        <v>8.1650000000000004E-3</v>
      </c>
      <c r="AD38">
        <v>8.1944000000000003E-2</v>
      </c>
      <c r="AE38">
        <v>8.6350000000000003E-3</v>
      </c>
      <c r="AF38">
        <v>1.389E-2</v>
      </c>
    </row>
    <row r="39" spans="1:32">
      <c r="A39" t="s">
        <v>31</v>
      </c>
      <c r="B39">
        <v>119972</v>
      </c>
      <c r="C39">
        <v>6589962</v>
      </c>
      <c r="D39">
        <v>655471</v>
      </c>
      <c r="E39" t="s">
        <v>32</v>
      </c>
      <c r="F39" t="s">
        <v>33</v>
      </c>
      <c r="G39" t="s">
        <v>81</v>
      </c>
      <c r="H39">
        <v>2022</v>
      </c>
      <c r="I39">
        <v>5</v>
      </c>
      <c r="J39">
        <v>12</v>
      </c>
      <c r="K39">
        <v>0</v>
      </c>
      <c r="L39">
        <v>8</v>
      </c>
      <c r="M39">
        <v>3.1745799999999997</v>
      </c>
      <c r="N39">
        <v>8.3059999999999995E-2</v>
      </c>
      <c r="O39">
        <v>2.1690000000000001E-2</v>
      </c>
      <c r="P39" t="s">
        <v>35</v>
      </c>
      <c r="Q39" t="s">
        <v>35</v>
      </c>
      <c r="R39">
        <v>9.5449999999999993E-2</v>
      </c>
      <c r="S39" t="s">
        <v>35</v>
      </c>
      <c r="T39">
        <v>1.2700000000000001E-3</v>
      </c>
      <c r="U39">
        <v>9.7199999999999995E-3</v>
      </c>
      <c r="V39">
        <v>9.9900000000000006E-3</v>
      </c>
      <c r="W39">
        <v>2.8061099999999999</v>
      </c>
      <c r="X39">
        <v>8.4860000000000005E-2</v>
      </c>
      <c r="Y39">
        <v>1.0529999999999999E-2</v>
      </c>
      <c r="Z39">
        <v>5.1900000000000002E-2</v>
      </c>
      <c r="AA39">
        <v>2.9015620000000002</v>
      </c>
      <c r="AB39">
        <v>8.4860000000000005E-2</v>
      </c>
      <c r="AC39">
        <v>9.7169999999999999E-3</v>
      </c>
      <c r="AD39">
        <v>0.11473700000000001</v>
      </c>
      <c r="AE39">
        <v>2.8636100000000001E-2</v>
      </c>
      <c r="AF39">
        <v>3.5058199999999998E-2</v>
      </c>
    </row>
    <row r="40" spans="1:32">
      <c r="A40" t="s">
        <v>31</v>
      </c>
      <c r="B40">
        <v>119972</v>
      </c>
      <c r="C40">
        <v>6589962</v>
      </c>
      <c r="D40">
        <v>655471</v>
      </c>
      <c r="E40" t="s">
        <v>32</v>
      </c>
      <c r="F40" t="s">
        <v>33</v>
      </c>
      <c r="G40" t="s">
        <v>82</v>
      </c>
      <c r="H40">
        <v>2022</v>
      </c>
      <c r="I40">
        <v>7</v>
      </c>
      <c r="J40">
        <v>20</v>
      </c>
      <c r="K40">
        <v>0</v>
      </c>
      <c r="L40">
        <v>8</v>
      </c>
      <c r="M40">
        <v>0.43141000000000002</v>
      </c>
      <c r="N40">
        <v>3.3730000000000003E-2</v>
      </c>
      <c r="O40">
        <v>3.9149999999999997E-2</v>
      </c>
      <c r="P40" t="s">
        <v>35</v>
      </c>
      <c r="Q40" t="s">
        <v>35</v>
      </c>
      <c r="R40">
        <v>5.4429999999999999E-2</v>
      </c>
      <c r="S40" t="s">
        <v>35</v>
      </c>
      <c r="T40">
        <v>3.2649999999999998E-2</v>
      </c>
      <c r="U40">
        <v>9.2000000000000003E-4</v>
      </c>
      <c r="V40">
        <v>9.8200000000000006E-3</v>
      </c>
      <c r="W40">
        <v>2.393E-2</v>
      </c>
      <c r="X40">
        <v>0.21379000000000001</v>
      </c>
      <c r="Y40">
        <v>1.8E-3</v>
      </c>
      <c r="Z40">
        <v>2.1190000000000001E-2</v>
      </c>
      <c r="AA40">
        <v>7.8356369999999995E-2</v>
      </c>
      <c r="AB40">
        <v>0.21379000000000001</v>
      </c>
      <c r="AC40">
        <v>9.1945999999999998E-4</v>
      </c>
      <c r="AD40">
        <v>8.2709299999999999E-2</v>
      </c>
      <c r="AE40">
        <v>4.5980199999999999E-2</v>
      </c>
      <c r="AF40">
        <v>9.6629999999999997E-3</v>
      </c>
    </row>
    <row r="41" spans="1:32">
      <c r="A41" t="s">
        <v>31</v>
      </c>
      <c r="B41">
        <v>119972</v>
      </c>
      <c r="C41">
        <v>6589962</v>
      </c>
      <c r="D41">
        <v>655471</v>
      </c>
      <c r="E41" t="s">
        <v>32</v>
      </c>
      <c r="F41" t="s">
        <v>33</v>
      </c>
      <c r="G41" t="s">
        <v>83</v>
      </c>
      <c r="H41">
        <v>2022</v>
      </c>
      <c r="I41">
        <v>8</v>
      </c>
      <c r="J41">
        <v>23</v>
      </c>
      <c r="K41">
        <v>0</v>
      </c>
      <c r="L41">
        <v>8</v>
      </c>
      <c r="M41">
        <v>0.63432999999999995</v>
      </c>
      <c r="N41">
        <v>3.1690000000000003E-2</v>
      </c>
      <c r="O41">
        <v>2.2100000000000002E-3</v>
      </c>
      <c r="P41" t="s">
        <v>35</v>
      </c>
      <c r="Q41" t="s">
        <v>35</v>
      </c>
      <c r="R41">
        <v>8.7580000000000005E-2</v>
      </c>
      <c r="S41" t="s">
        <v>35</v>
      </c>
      <c r="T41">
        <v>5.7290000000000001E-2</v>
      </c>
      <c r="U41">
        <v>0.24132000000000001</v>
      </c>
      <c r="V41">
        <v>1.2630000000000001E-2</v>
      </c>
      <c r="W41">
        <v>2.5909999999999999E-2</v>
      </c>
      <c r="X41">
        <v>0.14565</v>
      </c>
      <c r="Y41">
        <v>3.16E-3</v>
      </c>
      <c r="Z41">
        <v>2.6890000000000001E-2</v>
      </c>
      <c r="AA41">
        <v>0.11348800000000001</v>
      </c>
      <c r="AB41">
        <v>0.14565</v>
      </c>
      <c r="AC41">
        <v>0.24131549999999999</v>
      </c>
      <c r="AD41">
        <v>4.6533699999999997E-2</v>
      </c>
      <c r="AE41">
        <v>6.4267199999999997E-2</v>
      </c>
      <c r="AF41">
        <v>2.3068000000000002E-2</v>
      </c>
    </row>
    <row r="42" spans="1:32">
      <c r="A42" t="s">
        <v>31</v>
      </c>
      <c r="B42">
        <v>119972</v>
      </c>
      <c r="C42">
        <v>6589962</v>
      </c>
      <c r="D42">
        <v>655471</v>
      </c>
      <c r="E42" t="s">
        <v>32</v>
      </c>
      <c r="F42" t="s">
        <v>33</v>
      </c>
      <c r="G42" t="s">
        <v>84</v>
      </c>
      <c r="H42">
        <v>2022</v>
      </c>
      <c r="I42">
        <v>9</v>
      </c>
      <c r="J42">
        <v>14</v>
      </c>
      <c r="K42">
        <v>0</v>
      </c>
      <c r="L42">
        <v>8</v>
      </c>
      <c r="M42">
        <v>0.86906999999999979</v>
      </c>
      <c r="N42">
        <v>2.6509999999999999E-2</v>
      </c>
      <c r="O42">
        <v>3.8420000000000003E-2</v>
      </c>
      <c r="P42" t="s">
        <v>35</v>
      </c>
      <c r="Q42" t="s">
        <v>35</v>
      </c>
      <c r="R42">
        <v>2.172E-2</v>
      </c>
      <c r="S42" t="s">
        <v>35</v>
      </c>
      <c r="T42">
        <v>2.2110000000000001E-2</v>
      </c>
      <c r="U42">
        <v>0.53298999999999996</v>
      </c>
      <c r="V42">
        <v>1.3690000000000001E-2</v>
      </c>
      <c r="W42">
        <v>0.11806</v>
      </c>
      <c r="X42">
        <v>7.8320000000000001E-2</v>
      </c>
      <c r="Y42">
        <v>1.66E-3</v>
      </c>
      <c r="Z42">
        <v>1.559E-2</v>
      </c>
      <c r="AA42">
        <v>0.13978090000000001</v>
      </c>
      <c r="AB42">
        <v>7.8324000000000005E-2</v>
      </c>
      <c r="AC42">
        <v>0.53299209999999997</v>
      </c>
      <c r="AD42">
        <v>7.8629439999999995E-2</v>
      </c>
      <c r="AE42">
        <v>3.2297409999999999E-2</v>
      </c>
      <c r="AF42">
        <v>7.0523000000000001E-3</v>
      </c>
    </row>
    <row r="43" spans="1:32">
      <c r="A43" t="s">
        <v>31</v>
      </c>
      <c r="B43">
        <v>119972</v>
      </c>
      <c r="C43">
        <v>6589962</v>
      </c>
      <c r="D43">
        <v>655471</v>
      </c>
      <c r="E43" t="s">
        <v>32</v>
      </c>
      <c r="F43" t="s">
        <v>33</v>
      </c>
      <c r="G43" t="s">
        <v>87</v>
      </c>
      <c r="H43">
        <v>2023</v>
      </c>
      <c r="I43">
        <v>4</v>
      </c>
      <c r="J43">
        <v>25</v>
      </c>
      <c r="K43">
        <v>0</v>
      </c>
      <c r="L43">
        <v>8</v>
      </c>
      <c r="M43">
        <v>3.5010699999999999</v>
      </c>
      <c r="N43">
        <v>7.0330000000000004E-2</v>
      </c>
      <c r="O43">
        <v>0.12792000000000001</v>
      </c>
      <c r="P43" t="s">
        <v>35</v>
      </c>
      <c r="Q43">
        <v>6.4999999999999997E-4</v>
      </c>
      <c r="R43">
        <v>6.2759999999999996E-2</v>
      </c>
      <c r="S43" t="s">
        <v>35</v>
      </c>
      <c r="T43">
        <v>2.8E-3</v>
      </c>
      <c r="U43">
        <v>1.048E-2</v>
      </c>
      <c r="V43">
        <v>9.0600000000000003E-3</v>
      </c>
      <c r="W43">
        <v>3.1450100000000001</v>
      </c>
      <c r="X43">
        <v>6.1890000000000001E-2</v>
      </c>
      <c r="Y43">
        <v>2.2000000000000001E-4</v>
      </c>
      <c r="Z43">
        <v>9.9500000000000005E-3</v>
      </c>
      <c r="AA43">
        <v>3.2077721000000001</v>
      </c>
      <c r="AB43">
        <v>6.1889E-2</v>
      </c>
      <c r="AC43">
        <v>1.0482999999999999E-2</v>
      </c>
      <c r="AD43">
        <v>0.207316</v>
      </c>
      <c r="AE43">
        <v>9.6203999999999994E-3</v>
      </c>
      <c r="AF43">
        <v>3.9899000000000002E-3</v>
      </c>
    </row>
    <row r="44" spans="1:32">
      <c r="A44" t="s">
        <v>31</v>
      </c>
      <c r="B44">
        <v>119972</v>
      </c>
      <c r="C44">
        <v>6589962</v>
      </c>
      <c r="D44">
        <v>655471</v>
      </c>
      <c r="E44" t="s">
        <v>32</v>
      </c>
      <c r="F44" t="s">
        <v>33</v>
      </c>
      <c r="G44" t="s">
        <v>88</v>
      </c>
      <c r="H44">
        <v>2023</v>
      </c>
      <c r="I44">
        <v>5</v>
      </c>
      <c r="J44">
        <v>8</v>
      </c>
      <c r="K44">
        <v>0</v>
      </c>
      <c r="L44">
        <v>8</v>
      </c>
      <c r="M44">
        <v>3.5810599999999999</v>
      </c>
      <c r="N44">
        <v>2.1870000000000001E-2</v>
      </c>
      <c r="O44">
        <v>8.7299999999999999E-3</v>
      </c>
      <c r="P44" t="s">
        <v>35</v>
      </c>
      <c r="Q44">
        <v>3.2799999999999999E-3</v>
      </c>
      <c r="R44">
        <v>0.15106</v>
      </c>
      <c r="S44" t="s">
        <v>35</v>
      </c>
      <c r="T44">
        <v>4.8999999999999998E-4</v>
      </c>
      <c r="U44">
        <v>8.7500000000000008E-3</v>
      </c>
      <c r="V44">
        <v>3.5009999999999999E-2</v>
      </c>
      <c r="W44">
        <v>3.2710599999999999</v>
      </c>
      <c r="X44">
        <v>5.5989999999999998E-2</v>
      </c>
      <c r="Y44">
        <v>2.2000000000000001E-4</v>
      </c>
      <c r="Z44">
        <v>2.46E-2</v>
      </c>
      <c r="AA44">
        <v>3.4221210000000002</v>
      </c>
      <c r="AB44">
        <v>5.5990999999999999E-2</v>
      </c>
      <c r="AC44">
        <v>8.7469999999999996E-3</v>
      </c>
      <c r="AD44">
        <v>6.5610000000000002E-2</v>
      </c>
      <c r="AE44">
        <v>1.2505799999999999E-2</v>
      </c>
      <c r="AF44">
        <v>1.60731E-2</v>
      </c>
    </row>
    <row r="45" spans="1:32">
      <c r="A45" t="s">
        <v>31</v>
      </c>
      <c r="B45">
        <v>119972</v>
      </c>
      <c r="C45">
        <v>6589962</v>
      </c>
      <c r="D45">
        <v>655471</v>
      </c>
      <c r="E45" t="s">
        <v>32</v>
      </c>
      <c r="F45" t="s">
        <v>33</v>
      </c>
      <c r="G45" t="s">
        <v>89</v>
      </c>
      <c r="H45">
        <v>2023</v>
      </c>
      <c r="I45">
        <v>7</v>
      </c>
      <c r="J45">
        <v>20</v>
      </c>
      <c r="K45">
        <v>0</v>
      </c>
      <c r="L45">
        <v>8</v>
      </c>
      <c r="M45">
        <v>1.0851799999999998</v>
      </c>
      <c r="N45">
        <v>1.49E-2</v>
      </c>
      <c r="O45">
        <v>8.3800000000000003E-3</v>
      </c>
      <c r="P45" t="s">
        <v>35</v>
      </c>
      <c r="Q45" t="s">
        <v>35</v>
      </c>
      <c r="R45">
        <v>0.26926</v>
      </c>
      <c r="S45">
        <v>1.4300000000000001E-3</v>
      </c>
      <c r="T45">
        <v>1.0460000000000001E-2</v>
      </c>
      <c r="U45">
        <v>7.6699999999999997E-3</v>
      </c>
      <c r="V45">
        <v>1.99E-3</v>
      </c>
      <c r="W45">
        <v>0.11005</v>
      </c>
      <c r="X45">
        <v>0.62067000000000005</v>
      </c>
      <c r="Y45">
        <v>1.056E-2</v>
      </c>
      <c r="Z45">
        <v>2.981E-2</v>
      </c>
      <c r="AA45">
        <v>0.37930900000000001</v>
      </c>
      <c r="AB45">
        <v>0.62067000000000005</v>
      </c>
      <c r="AC45">
        <v>7.6727999999999996E-3</v>
      </c>
      <c r="AD45">
        <v>2.526875E-2</v>
      </c>
      <c r="AE45">
        <v>2.6609239999999999E-2</v>
      </c>
      <c r="AF45">
        <v>2.5641000000000001E-2</v>
      </c>
    </row>
    <row r="46" spans="1:32">
      <c r="A46" t="s">
        <v>31</v>
      </c>
      <c r="B46">
        <v>119972</v>
      </c>
      <c r="C46">
        <v>6589962</v>
      </c>
      <c r="D46">
        <v>655471</v>
      </c>
      <c r="E46" t="s">
        <v>32</v>
      </c>
      <c r="F46" t="s">
        <v>33</v>
      </c>
      <c r="G46" t="s">
        <v>130</v>
      </c>
      <c r="H46">
        <v>2023</v>
      </c>
      <c r="I46">
        <v>8</v>
      </c>
      <c r="J46">
        <v>14</v>
      </c>
      <c r="K46">
        <v>0</v>
      </c>
      <c r="L46">
        <v>8</v>
      </c>
      <c r="M46">
        <v>1.9427300000000001</v>
      </c>
      <c r="N46">
        <v>5.0650000000000001E-2</v>
      </c>
      <c r="O46">
        <v>3.62E-3</v>
      </c>
      <c r="P46" t="s">
        <v>35</v>
      </c>
      <c r="Q46" t="s">
        <v>35</v>
      </c>
      <c r="R46">
        <v>0.1079</v>
      </c>
      <c r="S46" t="s">
        <v>35</v>
      </c>
      <c r="T46">
        <v>2.102E-2</v>
      </c>
      <c r="U46">
        <v>3.7330000000000002E-2</v>
      </c>
      <c r="V46">
        <v>6.43E-3</v>
      </c>
      <c r="W46">
        <v>1.3883300000000001</v>
      </c>
      <c r="X46">
        <v>0.29016999999999998</v>
      </c>
      <c r="Y46">
        <v>7.4000000000000003E-3</v>
      </c>
      <c r="Z46">
        <v>2.988E-2</v>
      </c>
      <c r="AA46">
        <v>1.4962238000000001</v>
      </c>
      <c r="AB46">
        <v>0.29016999999999998</v>
      </c>
      <c r="AC46">
        <v>3.7333600000000002E-2</v>
      </c>
      <c r="AD46">
        <v>6.0698700000000001E-2</v>
      </c>
      <c r="AE46">
        <v>3.8225599999999998E-2</v>
      </c>
      <c r="AF46">
        <v>2.0069E-2</v>
      </c>
    </row>
    <row r="47" spans="1:32">
      <c r="A47" t="s">
        <v>31</v>
      </c>
      <c r="B47">
        <v>119972</v>
      </c>
      <c r="C47">
        <v>6589962</v>
      </c>
      <c r="D47">
        <v>655471</v>
      </c>
      <c r="E47" t="s">
        <v>32</v>
      </c>
      <c r="F47" t="s">
        <v>33</v>
      </c>
      <c r="G47" t="s">
        <v>91</v>
      </c>
      <c r="H47">
        <v>2023</v>
      </c>
      <c r="I47">
        <v>9</v>
      </c>
      <c r="J47">
        <v>13</v>
      </c>
      <c r="K47">
        <v>0</v>
      </c>
      <c r="L47">
        <v>8</v>
      </c>
      <c r="M47">
        <v>2.7537799999999999</v>
      </c>
      <c r="N47">
        <v>3.6069999999999998E-2</v>
      </c>
      <c r="O47">
        <v>1.2370000000000001E-2</v>
      </c>
      <c r="P47" t="s">
        <v>35</v>
      </c>
      <c r="Q47" t="s">
        <v>35</v>
      </c>
      <c r="R47">
        <v>0.15148</v>
      </c>
      <c r="S47" t="s">
        <v>35</v>
      </c>
      <c r="T47">
        <v>4.8070000000000002E-2</v>
      </c>
      <c r="U47">
        <v>2.12547</v>
      </c>
      <c r="V47">
        <v>3.065E-2</v>
      </c>
      <c r="W47">
        <v>9.1240000000000002E-2</v>
      </c>
      <c r="X47">
        <v>0.10829999999999999</v>
      </c>
      <c r="Y47">
        <v>3.1900000000000001E-3</v>
      </c>
      <c r="Z47">
        <v>0.14693999999999999</v>
      </c>
      <c r="AA47">
        <v>0.24271899999999999</v>
      </c>
      <c r="AB47">
        <v>0.108297</v>
      </c>
      <c r="AC47">
        <v>2.1254662999999998</v>
      </c>
      <c r="AD47">
        <v>7.9089999999999994E-2</v>
      </c>
      <c r="AE47">
        <v>0.1488313</v>
      </c>
      <c r="AF47">
        <v>4.9370999999999998E-2</v>
      </c>
    </row>
    <row r="48" spans="1:32">
      <c r="A48" t="s">
        <v>31</v>
      </c>
      <c r="B48">
        <v>119972</v>
      </c>
      <c r="C48">
        <v>6589962</v>
      </c>
      <c r="D48">
        <v>655471</v>
      </c>
      <c r="E48" t="s">
        <v>32</v>
      </c>
      <c r="F48" t="s">
        <v>33</v>
      </c>
      <c r="G48" t="s">
        <v>93</v>
      </c>
      <c r="H48">
        <v>2024</v>
      </c>
      <c r="I48">
        <v>4</v>
      </c>
      <c r="J48">
        <v>25</v>
      </c>
      <c r="K48">
        <v>0</v>
      </c>
      <c r="L48">
        <v>8</v>
      </c>
      <c r="M48">
        <v>3.39114</v>
      </c>
      <c r="N48">
        <v>2.7390000000000001E-2</v>
      </c>
      <c r="O48">
        <v>0.17784</v>
      </c>
      <c r="P48" t="s">
        <v>35</v>
      </c>
      <c r="Q48" t="s">
        <v>35</v>
      </c>
      <c r="R48">
        <v>0.41865000000000002</v>
      </c>
      <c r="S48" t="s">
        <v>35</v>
      </c>
      <c r="T48">
        <v>2.7529999999999999E-2</v>
      </c>
      <c r="U48">
        <v>1.8509999999999999E-2</v>
      </c>
      <c r="V48">
        <v>1.95E-2</v>
      </c>
      <c r="W48">
        <v>2.5720399999999999</v>
      </c>
      <c r="X48">
        <v>9.7479999999999997E-2</v>
      </c>
      <c r="Y48" t="s">
        <v>35</v>
      </c>
      <c r="Z48">
        <v>3.2199999999999999E-2</v>
      </c>
      <c r="AA48">
        <v>2.990685</v>
      </c>
      <c r="AB48">
        <v>9.7476999999999994E-2</v>
      </c>
      <c r="AC48">
        <v>1.8506000000000002E-2</v>
      </c>
      <c r="AD48">
        <v>0.22473099999999999</v>
      </c>
      <c r="AE48">
        <v>5.3837000000000003E-2</v>
      </c>
      <c r="AF48">
        <v>5.8937700000000004E-3</v>
      </c>
    </row>
    <row r="49" spans="1:32">
      <c r="A49" t="s">
        <v>31</v>
      </c>
      <c r="B49">
        <v>119972</v>
      </c>
      <c r="C49">
        <v>6589962</v>
      </c>
      <c r="D49">
        <v>655471</v>
      </c>
      <c r="E49" t="s">
        <v>32</v>
      </c>
      <c r="F49" t="s">
        <v>33</v>
      </c>
      <c r="G49" t="s">
        <v>94</v>
      </c>
      <c r="H49">
        <v>2024</v>
      </c>
      <c r="I49">
        <v>5</v>
      </c>
      <c r="J49">
        <v>15</v>
      </c>
      <c r="K49">
        <v>0</v>
      </c>
      <c r="L49">
        <v>8</v>
      </c>
      <c r="M49">
        <v>4.4057899999999997</v>
      </c>
      <c r="N49">
        <v>2.4170000000000001E-2</v>
      </c>
      <c r="O49">
        <v>0.42642000000000002</v>
      </c>
      <c r="P49" t="s">
        <v>35</v>
      </c>
      <c r="Q49" t="s">
        <v>35</v>
      </c>
      <c r="R49">
        <v>4.7199999999999999E-2</v>
      </c>
      <c r="S49" t="s">
        <v>35</v>
      </c>
      <c r="T49">
        <v>7.3300000000000004E-2</v>
      </c>
      <c r="U49">
        <v>0.16084999999999999</v>
      </c>
      <c r="V49">
        <v>6.6430000000000003E-2</v>
      </c>
      <c r="W49">
        <v>3.3775400000000002</v>
      </c>
      <c r="X49">
        <v>0.14093</v>
      </c>
      <c r="Y49">
        <v>2.65E-3</v>
      </c>
      <c r="Z49">
        <v>8.6300000000000002E-2</v>
      </c>
      <c r="AA49">
        <v>3.4247399999999999</v>
      </c>
      <c r="AB49">
        <v>0.140926</v>
      </c>
      <c r="AC49">
        <v>0.1608542</v>
      </c>
      <c r="AD49">
        <v>0.51702199999999998</v>
      </c>
      <c r="AE49">
        <v>0.13827600000000001</v>
      </c>
      <c r="AF49">
        <v>2.3976999999999998E-2</v>
      </c>
    </row>
    <row r="50" spans="1:32">
      <c r="A50" t="s">
        <v>31</v>
      </c>
      <c r="B50">
        <v>119972</v>
      </c>
      <c r="C50">
        <v>6589962</v>
      </c>
      <c r="D50">
        <v>655471</v>
      </c>
      <c r="E50" t="s">
        <v>32</v>
      </c>
      <c r="F50" t="s">
        <v>33</v>
      </c>
      <c r="G50" t="s">
        <v>95</v>
      </c>
      <c r="H50">
        <v>2024</v>
      </c>
      <c r="I50">
        <v>7</v>
      </c>
      <c r="J50">
        <v>25</v>
      </c>
      <c r="K50">
        <v>0</v>
      </c>
      <c r="L50">
        <v>8</v>
      </c>
      <c r="M50">
        <v>1.6701300000000001</v>
      </c>
      <c r="N50">
        <v>2.223E-2</v>
      </c>
      <c r="O50" t="s">
        <v>35</v>
      </c>
      <c r="P50" t="s">
        <v>35</v>
      </c>
      <c r="Q50" t="s">
        <v>35</v>
      </c>
      <c r="R50">
        <v>0.35641</v>
      </c>
      <c r="S50">
        <v>3.9300000000000003E-3</v>
      </c>
      <c r="T50">
        <v>2.3060000000000001E-2</v>
      </c>
      <c r="U50">
        <v>0.23818</v>
      </c>
      <c r="V50">
        <v>7.5399999999999998E-3</v>
      </c>
      <c r="W50">
        <v>0.66115999999999997</v>
      </c>
      <c r="X50">
        <v>0.27196999999999999</v>
      </c>
      <c r="Y50">
        <v>2.35E-2</v>
      </c>
      <c r="Z50">
        <v>6.2149999999999997E-2</v>
      </c>
      <c r="AA50">
        <v>1.0175742999999999</v>
      </c>
      <c r="AB50">
        <v>0.27197399999999999</v>
      </c>
      <c r="AC50">
        <v>0.23818365999999999</v>
      </c>
      <c r="AD50">
        <v>2.9767399999999999E-2</v>
      </c>
      <c r="AE50">
        <v>7.2113700000000003E-2</v>
      </c>
      <c r="AF50">
        <v>4.0515500000000003E-2</v>
      </c>
    </row>
    <row r="51" spans="1:32">
      <c r="A51" t="s">
        <v>31</v>
      </c>
      <c r="B51">
        <v>119972</v>
      </c>
      <c r="C51">
        <v>6589962</v>
      </c>
      <c r="D51">
        <v>655471</v>
      </c>
      <c r="E51" t="s">
        <v>32</v>
      </c>
      <c r="F51" t="s">
        <v>33</v>
      </c>
      <c r="G51" t="s">
        <v>96</v>
      </c>
      <c r="H51">
        <v>2024</v>
      </c>
      <c r="I51">
        <v>8</v>
      </c>
      <c r="J51">
        <v>20</v>
      </c>
      <c r="K51">
        <v>0</v>
      </c>
      <c r="L51">
        <v>8</v>
      </c>
      <c r="M51">
        <v>2.0750700000000002</v>
      </c>
      <c r="N51">
        <v>6.5000000000000002E-2</v>
      </c>
      <c r="O51">
        <v>1.3899999999999999E-2</v>
      </c>
      <c r="P51" t="s">
        <v>35</v>
      </c>
      <c r="Q51" t="s">
        <v>35</v>
      </c>
      <c r="R51">
        <v>0.58387999999999995</v>
      </c>
      <c r="S51" t="s">
        <v>35</v>
      </c>
      <c r="T51">
        <v>6.5420000000000006E-2</v>
      </c>
      <c r="U51">
        <v>1.02549</v>
      </c>
      <c r="V51">
        <v>2.4459999999999999E-2</v>
      </c>
      <c r="W51">
        <v>3.6310000000000002E-2</v>
      </c>
      <c r="X51">
        <v>0.20233000000000001</v>
      </c>
      <c r="Y51">
        <v>3.5500000000000002E-3</v>
      </c>
      <c r="Z51">
        <v>5.4730000000000001E-2</v>
      </c>
      <c r="AA51">
        <v>0.62018499999999999</v>
      </c>
      <c r="AB51">
        <v>0.20233000000000001</v>
      </c>
      <c r="AC51">
        <v>1.0254919</v>
      </c>
      <c r="AD51">
        <v>0.103362</v>
      </c>
      <c r="AE51">
        <v>7.0438000000000001E-2</v>
      </c>
      <c r="AF51">
        <v>5.3267000000000002E-2</v>
      </c>
    </row>
    <row r="52" spans="1:32">
      <c r="A52" t="s">
        <v>31</v>
      </c>
      <c r="B52">
        <v>119972</v>
      </c>
      <c r="C52">
        <v>6589962</v>
      </c>
      <c r="D52">
        <v>655471</v>
      </c>
      <c r="E52" t="s">
        <v>32</v>
      </c>
      <c r="F52" t="s">
        <v>33</v>
      </c>
      <c r="G52" t="s">
        <v>97</v>
      </c>
      <c r="H52">
        <v>2024</v>
      </c>
      <c r="I52">
        <v>9</v>
      </c>
      <c r="J52">
        <v>12</v>
      </c>
      <c r="K52">
        <v>0</v>
      </c>
      <c r="L52">
        <v>8</v>
      </c>
      <c r="M52">
        <v>2.3218299999999998</v>
      </c>
      <c r="N52">
        <v>2.7650000000000001E-2</v>
      </c>
      <c r="O52">
        <v>8.0999999999999996E-3</v>
      </c>
      <c r="P52" t="s">
        <v>35</v>
      </c>
      <c r="Q52" t="s">
        <v>35</v>
      </c>
      <c r="R52">
        <v>6.1710000000000001E-2</v>
      </c>
      <c r="S52" t="s">
        <v>35</v>
      </c>
      <c r="T52">
        <v>6.1289999999999997E-2</v>
      </c>
      <c r="U52">
        <v>1.7961100000000001</v>
      </c>
      <c r="V52">
        <v>1.457E-2</v>
      </c>
      <c r="W52">
        <v>0.14674999999999999</v>
      </c>
      <c r="X52">
        <v>0.15160999999999999</v>
      </c>
      <c r="Y52">
        <v>2.0500000000000002E-3</v>
      </c>
      <c r="Z52">
        <v>5.1990000000000001E-2</v>
      </c>
      <c r="AA52">
        <v>0.20846010000000001</v>
      </c>
      <c r="AB52">
        <v>0.151611</v>
      </c>
      <c r="AC52">
        <v>1.7961081000000001</v>
      </c>
      <c r="AD52">
        <v>5.0318000000000002E-2</v>
      </c>
      <c r="AE52">
        <v>9.4149099999999999E-2</v>
      </c>
      <c r="AF52">
        <v>2.1184000000000001E-2</v>
      </c>
    </row>
    <row r="53" spans="1:32">
      <c r="A53" t="s">
        <v>31</v>
      </c>
      <c r="B53">
        <v>119972</v>
      </c>
      <c r="C53">
        <v>6589962</v>
      </c>
      <c r="D53">
        <v>655471</v>
      </c>
      <c r="E53" t="s">
        <v>32</v>
      </c>
      <c r="F53" t="s">
        <v>33</v>
      </c>
      <c r="G53" t="s">
        <v>99</v>
      </c>
      <c r="H53">
        <v>2025</v>
      </c>
      <c r="I53">
        <v>4</v>
      </c>
      <c r="J53">
        <v>30</v>
      </c>
      <c r="K53">
        <v>0</v>
      </c>
      <c r="L53">
        <v>8</v>
      </c>
      <c r="M53">
        <f>SUM(N53:Z53)</f>
        <v>3.9998900000000002</v>
      </c>
      <c r="N53">
        <v>2.1669999999999998E-2</v>
      </c>
      <c r="O53">
        <v>3.6929999999999998E-2</v>
      </c>
      <c r="P53" t="s">
        <v>35</v>
      </c>
      <c r="Q53" t="s">
        <v>35</v>
      </c>
      <c r="R53">
        <v>7.6270000000000004E-2</v>
      </c>
      <c r="S53" t="s">
        <v>35</v>
      </c>
      <c r="T53">
        <v>2.691E-2</v>
      </c>
      <c r="U53">
        <v>2.0650000000000002E-2</v>
      </c>
      <c r="V53">
        <v>2.9829999999999999E-2</v>
      </c>
      <c r="W53">
        <v>3.5227900000000001</v>
      </c>
      <c r="X53">
        <v>0.22341</v>
      </c>
      <c r="Y53">
        <v>6.8000000000000005E-4</v>
      </c>
      <c r="Z53">
        <v>4.0750000000000001E-2</v>
      </c>
    </row>
    <row r="54" spans="1:32">
      <c r="A54" t="s">
        <v>31</v>
      </c>
      <c r="B54">
        <v>119972</v>
      </c>
      <c r="C54">
        <v>6589962</v>
      </c>
      <c r="D54">
        <v>655471</v>
      </c>
      <c r="E54" t="s">
        <v>32</v>
      </c>
      <c r="F54" t="s">
        <v>33</v>
      </c>
      <c r="G54" t="s">
        <v>100</v>
      </c>
      <c r="H54">
        <v>2025</v>
      </c>
      <c r="I54">
        <v>5</v>
      </c>
      <c r="J54">
        <v>19</v>
      </c>
      <c r="K54">
        <v>0</v>
      </c>
      <c r="L54">
        <v>8</v>
      </c>
      <c r="M54">
        <f>SUM(N54:Z54)</f>
        <v>3.5079099999999999</v>
      </c>
      <c r="N54">
        <v>2.5499999999999998E-2</v>
      </c>
      <c r="O54">
        <v>4.6800000000000001E-3</v>
      </c>
      <c r="P54" t="s">
        <v>35</v>
      </c>
      <c r="Q54">
        <v>4.6999999999999999E-4</v>
      </c>
      <c r="R54">
        <v>8.8489999999999999E-2</v>
      </c>
      <c r="S54" t="s">
        <v>35</v>
      </c>
      <c r="T54">
        <v>5.6559999999999999E-2</v>
      </c>
      <c r="U54">
        <v>6.4810000000000006E-2</v>
      </c>
      <c r="V54">
        <v>8.2900000000000005E-3</v>
      </c>
      <c r="W54">
        <v>2.9700299999999999</v>
      </c>
      <c r="X54">
        <v>0.25433</v>
      </c>
      <c r="Y54">
        <v>9.5E-4</v>
      </c>
      <c r="Z54">
        <v>3.3799999999999997E-2</v>
      </c>
    </row>
    <row r="56" spans="1:32">
      <c r="N56">
        <f>MIN(N2:N54)</f>
        <v>2.9999999999999997E-4</v>
      </c>
      <c r="O56">
        <f t="shared" ref="O56:Z56" si="0">MIN(O2:O54)</f>
        <v>2.4000000000000001E-4</v>
      </c>
      <c r="P56">
        <f t="shared" si="0"/>
        <v>4.7299999999999998E-3</v>
      </c>
      <c r="Q56">
        <f t="shared" si="0"/>
        <v>5.0000000000000002E-5</v>
      </c>
      <c r="R56">
        <f t="shared" si="0"/>
        <v>4.3200000000000001E-3</v>
      </c>
      <c r="S56">
        <f t="shared" si="0"/>
        <v>2.7999999999999998E-4</v>
      </c>
      <c r="T56">
        <f t="shared" si="0"/>
        <v>4.8999999999999998E-4</v>
      </c>
      <c r="U56">
        <f t="shared" si="0"/>
        <v>9.2000000000000003E-4</v>
      </c>
      <c r="V56">
        <f t="shared" si="0"/>
        <v>1.48E-3</v>
      </c>
      <c r="W56">
        <f t="shared" si="0"/>
        <v>4.7499999999999999E-3</v>
      </c>
      <c r="X56">
        <f t="shared" si="0"/>
        <v>2.5999999999999999E-3</v>
      </c>
      <c r="Y56">
        <f t="shared" si="0"/>
        <v>1.6000000000000001E-4</v>
      </c>
      <c r="Z56">
        <f t="shared" si="0"/>
        <v>5.3299999999999997E-3</v>
      </c>
    </row>
    <row r="57" spans="1:32">
      <c r="N57">
        <f>MAX(N2:N54)</f>
        <v>0.16284000000000001</v>
      </c>
      <c r="O57">
        <f t="shared" ref="O57:Z57" si="1">MAX(O2:O54)</f>
        <v>0.42642000000000002</v>
      </c>
      <c r="P57">
        <f t="shared" si="1"/>
        <v>7.8700000000000003E-3</v>
      </c>
      <c r="Q57">
        <f t="shared" si="1"/>
        <v>3.2799999999999999E-3</v>
      </c>
      <c r="R57">
        <f t="shared" si="1"/>
        <v>0.96699000000000002</v>
      </c>
      <c r="S57">
        <f t="shared" si="1"/>
        <v>7.7249999999999999E-2</v>
      </c>
      <c r="T57">
        <f t="shared" si="1"/>
        <v>0.10727</v>
      </c>
      <c r="U57">
        <f t="shared" si="1"/>
        <v>2.12547</v>
      </c>
      <c r="V57">
        <f t="shared" si="1"/>
        <v>8.727E-2</v>
      </c>
      <c r="W57">
        <f t="shared" si="1"/>
        <v>10.82761</v>
      </c>
      <c r="X57">
        <f t="shared" si="1"/>
        <v>1.0036499999999999</v>
      </c>
      <c r="Y57">
        <f t="shared" si="1"/>
        <v>6.7559999999999995E-2</v>
      </c>
      <c r="Z57">
        <f t="shared" si="1"/>
        <v>0.19972000000000001</v>
      </c>
    </row>
  </sheetData>
  <autoFilter ref="A1:AF54" xr:uid="{2D07922C-455A-4E8B-8DF5-A888CDC061F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c2d379-d785-46b0-8636-f7173bc33880">
      <Terms xmlns="http://schemas.microsoft.com/office/infopath/2007/PartnerControls"/>
    </lcf76f155ced4ddcb4097134ff3c332f>
    <TaxCatchAll xmlns="1499b5a1-0c04-4938-aa69-31a6be06cca2" xsi:nil="true"/>
    <Deliverable xmlns="5ec2d379-d785-46b0-8636-f7173bc338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FB278F55A41B4D9D3248AAACB689B9" ma:contentTypeVersion="13" ma:contentTypeDescription="Create a new document." ma:contentTypeScope="" ma:versionID="71c46bfc214de98532c824187d8cda97">
  <xsd:schema xmlns:xsd="http://www.w3.org/2001/XMLSchema" xmlns:xs="http://www.w3.org/2001/XMLSchema" xmlns:p="http://schemas.microsoft.com/office/2006/metadata/properties" xmlns:ns2="5ec2d379-d785-46b0-8636-f7173bc33880" xmlns:ns3="1499b5a1-0c04-4938-aa69-31a6be06cca2" targetNamespace="http://schemas.microsoft.com/office/2006/metadata/properties" ma:root="true" ma:fieldsID="0438c191bc243e7276e104aaaa82e932" ns2:_="" ns3:_="">
    <xsd:import namespace="5ec2d379-d785-46b0-8636-f7173bc33880"/>
    <xsd:import namespace="1499b5a1-0c04-4938-aa69-31a6be06cc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liverabl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2d379-d785-46b0-8636-f7173bc33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6f9a43-c9a4-4e1f-b283-6749085c60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eliverable" ma:index="19" nillable="true" ma:displayName="Deliverable" ma:format="Dropdown" ma:internalName="Deliverable">
      <xsd:simpleType>
        <xsd:restriction base="dms:Choice">
          <xsd:enumeration value="Deliverable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9b5a1-0c04-4938-aa69-31a6be06cc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4601f0-7b05-4e22-af03-57ade8473ff6}" ma:internalName="TaxCatchAll" ma:showField="CatchAllData" ma:web="1499b5a1-0c04-4938-aa69-31a6be06c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778B1-73E4-4E15-B2FF-EB1348BBD95E}"/>
</file>

<file path=customXml/itemProps2.xml><?xml version="1.0" encoding="utf-8"?>
<ds:datastoreItem xmlns:ds="http://schemas.openxmlformats.org/officeDocument/2006/customXml" ds:itemID="{334B35B4-9B5C-4072-A915-FDF7CC266401}"/>
</file>

<file path=customXml/itemProps3.xml><?xml version="1.0" encoding="utf-8"?>
<ds:datastoreItem xmlns:ds="http://schemas.openxmlformats.org/officeDocument/2006/customXml" ds:itemID="{46D8083A-0F2C-4A30-8DFF-2A2A01AFD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Stina Drakare</dc:creator>
  <cp:keywords/>
  <dc:description/>
  <cp:lastModifiedBy/>
  <cp:revision/>
  <dcterms:created xsi:type="dcterms:W3CDTF">2025-12-03T08:14:44Z</dcterms:created>
  <dcterms:modified xsi:type="dcterms:W3CDTF">2026-09-29T16:30:02Z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0x01010037FB278F55A41B4D9D3248AAACB689B9</vt:lpwstr>
  </property>
  <property fmtid="{D5CDD505-2E9C-101B-9397-08002B2CF9AE}" pid="3" name="MediaServiceImageTags">
    <vt:lpwstr/>
  </property>
</Properties>
</file>