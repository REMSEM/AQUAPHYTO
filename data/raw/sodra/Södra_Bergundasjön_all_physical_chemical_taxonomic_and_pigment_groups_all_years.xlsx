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brockmannconsult.sharepoint.com/sites/AQUATIME/Shared Documents/WP2 Representative Dataset/Case_Study_3/Södra Bergundasjön/Field data/"/>
    </mc:Choice>
  </mc:AlternateContent>
  <xr:revisionPtr revIDLastSave="0" documentId="8_{28FF1C79-8809-49A6-9EBB-A6D0228F4B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hy Chem Chla Phytoplankton " sheetId="2" r:id="rId1"/>
    <sheet name="BASE Phytoplankton" sheetId="3" r:id="rId2"/>
  </sheets>
  <definedNames>
    <definedName name="_xlnm._FilterDatabase" localSheetId="0" hidden="1">'Phy Chem Chla Phytoplankton '!$A$1:$AT$63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4" i="2" l="1"/>
  <c r="AF65" i="2"/>
  <c r="AF66" i="2"/>
  <c r="AF67" i="2"/>
  <c r="AF68" i="2"/>
  <c r="AF69" i="2"/>
  <c r="AF62" i="2"/>
  <c r="AB64" i="2"/>
  <c r="AB65" i="2"/>
  <c r="AB66" i="2"/>
  <c r="AB67" i="2"/>
  <c r="AB68" i="2"/>
  <c r="AB69" i="2"/>
  <c r="AF36" i="2"/>
  <c r="AF30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1" i="2"/>
  <c r="AF33" i="2"/>
  <c r="AF34" i="2"/>
  <c r="AF35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6" i="2"/>
  <c r="AF57" i="2"/>
  <c r="AF58" i="2"/>
  <c r="AF59" i="2"/>
  <c r="AF60" i="2"/>
  <c r="AF61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2" i="2"/>
</calcChain>
</file>

<file path=xl/sharedStrings.xml><?xml version="1.0" encoding="utf-8"?>
<sst xmlns="http://schemas.openxmlformats.org/spreadsheetml/2006/main" count="3322" uniqueCount="852">
  <si>
    <t>Provplats</t>
  </si>
  <si>
    <t>National site-ID</t>
  </si>
  <si>
    <t>Provplatskoordinat N/X</t>
  </si>
  <si>
    <t>Provplatskoordinat E/Y</t>
  </si>
  <si>
    <t>Koordinatsystem</t>
  </si>
  <si>
    <t>Type of monitoring</t>
  </si>
  <si>
    <t>Date</t>
  </si>
  <si>
    <t>Year</t>
  </si>
  <si>
    <t>Month</t>
  </si>
  <si>
    <t>Day</t>
  </si>
  <si>
    <t>Sampling depth (m)</t>
  </si>
  <si>
    <t>Secchi depth (m)</t>
  </si>
  <si>
    <t>Water temperature (°C)</t>
  </si>
  <si>
    <t>Oxygen (mg/l O2)</t>
  </si>
  <si>
    <t>Oxygen saturation (%)</t>
  </si>
  <si>
    <t>pH</t>
  </si>
  <si>
    <t>Alkalinity (meq/L)</t>
  </si>
  <si>
    <t>Conductivity at 25C (mS/m)</t>
  </si>
  <si>
    <t>NH4-N (µg/l N)</t>
  </si>
  <si>
    <t>NO2+NO3-N (µg/l N)</t>
  </si>
  <si>
    <t>Tot-N (µg/l N)</t>
  </si>
  <si>
    <t>PO4-P (µg/l P)</t>
  </si>
  <si>
    <t>Tot-P (µg/l P)</t>
  </si>
  <si>
    <t>Abs_F 436 (/m)</t>
  </si>
  <si>
    <t>Abs_F 254 (/5cm)</t>
  </si>
  <si>
    <t>Abs_F 365 (/5cm)</t>
  </si>
  <si>
    <t>Abs_F 420 (/5cm)</t>
  </si>
  <si>
    <t>Appr. aCDOM (440)</t>
  </si>
  <si>
    <t>Turb_FNU (FNU)</t>
  </si>
  <si>
    <t>TOC (mg/l C)</t>
  </si>
  <si>
    <t>Chl-a (µg/L) at 0,5 m</t>
  </si>
  <si>
    <t>Total phytoplankton biomass (mg/L) at 0-2 m</t>
  </si>
  <si>
    <t>Chrysophyceae (mm3/l=mg/L)</t>
  </si>
  <si>
    <t>Synurophyceae (mm3/l=mg/L)</t>
  </si>
  <si>
    <t>Dinophyceae (mm3/l=mg/L)</t>
  </si>
  <si>
    <t>Euglenophyceae (mm3/l=mg/L)</t>
  </si>
  <si>
    <t>Chlorophyta (mm3/l=mg/L)</t>
  </si>
  <si>
    <t>Cyanobacteria (mm3/l=mg/L)</t>
  </si>
  <si>
    <t>Haptophyta (mm3/l=mg/L)</t>
  </si>
  <si>
    <t>Bacillariophyta (mm3/l=mg/L)</t>
  </si>
  <si>
    <t>Cryptophyta (mm3/l=mg/L)</t>
  </si>
  <si>
    <t>Charophyta (mm3/l=mg/L)</t>
  </si>
  <si>
    <t>Other groups (mm3/l=mg/L)</t>
  </si>
  <si>
    <t>Brown (mg/L)</t>
  </si>
  <si>
    <t>Crypto-PE (mg/L)</t>
  </si>
  <si>
    <t>Cyano (not specified type) (mg/L)</t>
  </si>
  <si>
    <t>Golden brown (mg/L)</t>
  </si>
  <si>
    <t>Green (mg/L)</t>
  </si>
  <si>
    <t>Unknown pigm (mg/L)</t>
  </si>
  <si>
    <t>Sum of pigment data (mg/L) same as total biomass</t>
  </si>
  <si>
    <t>Södra Bergundasjön</t>
  </si>
  <si>
    <t>SWEREF 99 TM</t>
  </si>
  <si>
    <t>SRK</t>
  </si>
  <si>
    <t>&lt;10</t>
  </si>
  <si>
    <t/>
  </si>
  <si>
    <t>&lt;2</t>
  </si>
  <si>
    <t>NMÖ</t>
  </si>
  <si>
    <t>&lt;50</t>
  </si>
  <si>
    <t>Övervakningsstation</t>
  </si>
  <si>
    <t>Nationellt övervakningsstations-ID</t>
  </si>
  <si>
    <t>MD-MVM Id</t>
  </si>
  <si>
    <t>EU id</t>
  </si>
  <si>
    <t>Stationskoordinat N/X</t>
  </si>
  <si>
    <t>Stationskoordinat E/Y</t>
  </si>
  <si>
    <t>Nationellt provplats-ID</t>
  </si>
  <si>
    <t>EU ID, provplatsnivå</t>
  </si>
  <si>
    <t>Provtagningsmedium</t>
  </si>
  <si>
    <t>Program</t>
  </si>
  <si>
    <t>Delprogram</t>
  </si>
  <si>
    <t>Projekt</t>
  </si>
  <si>
    <t>Län</t>
  </si>
  <si>
    <t>Kommun</t>
  </si>
  <si>
    <t>MS_CD C2</t>
  </si>
  <si>
    <t>MS_CD C3</t>
  </si>
  <si>
    <t>MS_CD C4</t>
  </si>
  <si>
    <t>ProvId</t>
  </si>
  <si>
    <t>Provdatum</t>
  </si>
  <si>
    <t>Provtagningsår</t>
  </si>
  <si>
    <t>Provtagningsmånad</t>
  </si>
  <si>
    <t>Provtagningsdag</t>
  </si>
  <si>
    <t>Min provdjup (m)</t>
  </si>
  <si>
    <t>Max provdjup (m)</t>
  </si>
  <si>
    <t>Undersökningstyp</t>
  </si>
  <si>
    <t>Metodstandard för biologisk provtagning</t>
  </si>
  <si>
    <t>Provkommentar</t>
  </si>
  <si>
    <t>Analyslaboratorium</t>
  </si>
  <si>
    <t>Ackreditering</t>
  </si>
  <si>
    <t>Xanthophyceae (mm3/l)</t>
  </si>
  <si>
    <t>Chrysophyceae (mm3/l)</t>
  </si>
  <si>
    <t>Synurophyceae (mm3/l)</t>
  </si>
  <si>
    <t>Raphidophyceae (mm3/l)</t>
  </si>
  <si>
    <t>Choanoflagellidea (mm3/l)</t>
  </si>
  <si>
    <t>Dinophyceae (mm3/l)</t>
  </si>
  <si>
    <t>Euglenophyceae (mm3/l)</t>
  </si>
  <si>
    <t>Chlorophyta (mm3/l)</t>
  </si>
  <si>
    <t>Cyanobacteria (mm3/l)</t>
  </si>
  <si>
    <t>Haptophyta (mm3/l)</t>
  </si>
  <si>
    <t>Bacillariophyta (mm3/l)</t>
  </si>
  <si>
    <t>Cryptophyta (mm3/l)</t>
  </si>
  <si>
    <t>Charophyta (mm3/l)</t>
  </si>
  <si>
    <t>Övriga Växtplankton (mm3/l)</t>
  </si>
  <si>
    <t>260702</t>
  </si>
  <si>
    <t>3378</t>
  </si>
  <si>
    <t>SE630250-143760</t>
  </si>
  <si>
    <t>6300743</t>
  </si>
  <si>
    <t>486739</t>
  </si>
  <si>
    <t>313 S Bergundasjön</t>
  </si>
  <si>
    <t>147647</t>
  </si>
  <si>
    <t>6300430</t>
  </si>
  <si>
    <t>486800</t>
  </si>
  <si>
    <t>Sjö</t>
  </si>
  <si>
    <t>Sötvatten</t>
  </si>
  <si>
    <t>Mörrumsån</t>
  </si>
  <si>
    <t>Kronobergs län</t>
  </si>
  <si>
    <t>Växjö</t>
  </si>
  <si>
    <t>WA25740597</t>
  </si>
  <si>
    <t>516272</t>
  </si>
  <si>
    <t>2015-06-03</t>
  </si>
  <si>
    <t>2015</t>
  </si>
  <si>
    <t>6</t>
  </si>
  <si>
    <t>3</t>
  </si>
  <si>
    <t>0,00</t>
  </si>
  <si>
    <t>2,00</t>
  </si>
  <si>
    <t>Medins ID:3125</t>
  </si>
  <si>
    <t>MEDIN</t>
  </si>
  <si>
    <t>Ackrediterat</t>
  </si>
  <si>
    <t>3,19247</t>
  </si>
  <si>
    <t>10,92968</t>
  </si>
  <si>
    <t>3,68407</t>
  </si>
  <si>
    <t>0,08050</t>
  </si>
  <si>
    <t>0,04433</t>
  </si>
  <si>
    <t>0,07102</t>
  </si>
  <si>
    <t>516273</t>
  </si>
  <si>
    <t>2015-07-09</t>
  </si>
  <si>
    <t>7</t>
  </si>
  <si>
    <t>9</t>
  </si>
  <si>
    <t>Medins ID:3126</t>
  </si>
  <si>
    <t>0,01892</t>
  </si>
  <si>
    <t>0,64580</t>
  </si>
  <si>
    <t>22,70996</t>
  </si>
  <si>
    <t>1,53927</t>
  </si>
  <si>
    <t>0,31980</t>
  </si>
  <si>
    <t>0,11051</t>
  </si>
  <si>
    <t>0,13506</t>
  </si>
  <si>
    <t>516274</t>
  </si>
  <si>
    <t>2015-08-20</t>
  </si>
  <si>
    <t>8</t>
  </si>
  <si>
    <t>20</t>
  </si>
  <si>
    <t>Medins ID:3131</t>
  </si>
  <si>
    <t>4,19136</t>
  </si>
  <si>
    <t>0,27550</t>
  </si>
  <si>
    <t>1,33508</t>
  </si>
  <si>
    <t>13,87064</t>
  </si>
  <si>
    <t>0,01691</t>
  </si>
  <si>
    <t>17,06981</t>
  </si>
  <si>
    <t>0,16863</t>
  </si>
  <si>
    <t>0,06925</t>
  </si>
  <si>
    <t>1,66546</t>
  </si>
  <si>
    <t>516275</t>
  </si>
  <si>
    <t>2015-09-10</t>
  </si>
  <si>
    <t>10</t>
  </si>
  <si>
    <t>Medins ID:3132</t>
  </si>
  <si>
    <t>0,02187</t>
  </si>
  <si>
    <t>0,01196</t>
  </si>
  <si>
    <t>1,11089</t>
  </si>
  <si>
    <t>11,47341</t>
  </si>
  <si>
    <t>0,01076</t>
  </si>
  <si>
    <t>12,20506</t>
  </si>
  <si>
    <t>0,26119</t>
  </si>
  <si>
    <t>0,08643</t>
  </si>
  <si>
    <t>0,20915</t>
  </si>
  <si>
    <t>516270</t>
  </si>
  <si>
    <t>2015-10-07</t>
  </si>
  <si>
    <t>Medins ID:3133</t>
  </si>
  <si>
    <t>0,00783</t>
  </si>
  <si>
    <t>0,29232</t>
  </si>
  <si>
    <t>0,79491</t>
  </si>
  <si>
    <t>1,17823</t>
  </si>
  <si>
    <t>0,00092</t>
  </si>
  <si>
    <t>6,35628</t>
  </si>
  <si>
    <t>3,59140</t>
  </si>
  <si>
    <t>0,00457</t>
  </si>
  <si>
    <t>0,23794</t>
  </si>
  <si>
    <t>703378</t>
  </si>
  <si>
    <t>2016-05-04</t>
  </si>
  <si>
    <t>2016</t>
  </si>
  <si>
    <t>5</t>
  </si>
  <si>
    <t>4</t>
  </si>
  <si>
    <t>Medins ID:3465</t>
  </si>
  <si>
    <t>0,05981</t>
  </si>
  <si>
    <t>0,12990</t>
  </si>
  <si>
    <t>0,09292</t>
  </si>
  <si>
    <t>0,25055</t>
  </si>
  <si>
    <t>6,01857</t>
  </si>
  <si>
    <t>0,00117</t>
  </si>
  <si>
    <t>1,13137</t>
  </si>
  <si>
    <t>0,28243</t>
  </si>
  <si>
    <t>0,00932</t>
  </si>
  <si>
    <t>0,03615</t>
  </si>
  <si>
    <t>703379</t>
  </si>
  <si>
    <t>2016-06-09</t>
  </si>
  <si>
    <t>Medins ID:3466</t>
  </si>
  <si>
    <t>0,08706</t>
  </si>
  <si>
    <t>0,07125</t>
  </si>
  <si>
    <t>2,26415</t>
  </si>
  <si>
    <t>9,08267</t>
  </si>
  <si>
    <t>0,40824</t>
  </si>
  <si>
    <t>0,36573</t>
  </si>
  <si>
    <t>0,43754</t>
  </si>
  <si>
    <t>0,03976</t>
  </si>
  <si>
    <t>703380</t>
  </si>
  <si>
    <t>2016-07-13</t>
  </si>
  <si>
    <t>13</t>
  </si>
  <si>
    <t>Medins ID:3467</t>
  </si>
  <si>
    <t>0,07659</t>
  </si>
  <si>
    <t>0,04392</t>
  </si>
  <si>
    <t>0,06019</t>
  </si>
  <si>
    <t>16,08961</t>
  </si>
  <si>
    <t>2,50520</t>
  </si>
  <si>
    <t>0,04589</t>
  </si>
  <si>
    <t>0,02201</t>
  </si>
  <si>
    <t>0,09080</t>
  </si>
  <si>
    <t>703381</t>
  </si>
  <si>
    <t>2016-08-10</t>
  </si>
  <si>
    <t>Medins ID:3468</t>
  </si>
  <si>
    <t>0,09782</t>
  </si>
  <si>
    <t>0,12231</t>
  </si>
  <si>
    <t>0,08594</t>
  </si>
  <si>
    <t>13,79197</t>
  </si>
  <si>
    <t>8,43869</t>
  </si>
  <si>
    <t>0,06760</t>
  </si>
  <si>
    <t>1,06318</t>
  </si>
  <si>
    <t>0,06803</t>
  </si>
  <si>
    <t>703382</t>
  </si>
  <si>
    <t>2016-09-08</t>
  </si>
  <si>
    <t>Medins ID:3469</t>
  </si>
  <si>
    <t>0,03423</t>
  </si>
  <si>
    <t>0,02186</t>
  </si>
  <si>
    <t>0,30700</t>
  </si>
  <si>
    <t>0,69294</t>
  </si>
  <si>
    <t>2,39863</t>
  </si>
  <si>
    <t>6,58231</t>
  </si>
  <si>
    <t>1,03500</t>
  </si>
  <si>
    <t>0,66739</t>
  </si>
  <si>
    <t>0,03649</t>
  </si>
  <si>
    <t>703377</t>
  </si>
  <si>
    <t>2016-10-11</t>
  </si>
  <si>
    <t>11</t>
  </si>
  <si>
    <t>Medins ID:3470</t>
  </si>
  <si>
    <t>0,04347</t>
  </si>
  <si>
    <t>0,33511</t>
  </si>
  <si>
    <t>1,83462</t>
  </si>
  <si>
    <t>8,40567</t>
  </si>
  <si>
    <t>0,65993</t>
  </si>
  <si>
    <t>0,14299</t>
  </si>
  <si>
    <t>0,01086</t>
  </si>
  <si>
    <t>730048</t>
  </si>
  <si>
    <t>2017-05-15</t>
  </si>
  <si>
    <t>2017</t>
  </si>
  <si>
    <t>15</t>
  </si>
  <si>
    <t>Växtplankton i sjöar v1</t>
  </si>
  <si>
    <t>SS-EN 16698:2015</t>
  </si>
  <si>
    <t>Medins ID:3791</t>
  </si>
  <si>
    <t>0,00544</t>
  </si>
  <si>
    <t>0,10015</t>
  </si>
  <si>
    <t>0,83666</t>
  </si>
  <si>
    <t>23,32753</t>
  </si>
  <si>
    <t>0,45004</t>
  </si>
  <si>
    <t>0,35987</t>
  </si>
  <si>
    <t>0,03201</t>
  </si>
  <si>
    <t>730049</t>
  </si>
  <si>
    <t>2017-06-09</t>
  </si>
  <si>
    <t>Medins ID:3792</t>
  </si>
  <si>
    <t>0,06105</t>
  </si>
  <si>
    <t>0,01223</t>
  </si>
  <si>
    <t>0,46009</t>
  </si>
  <si>
    <t>6,01289</t>
  </si>
  <si>
    <t>2,66474</t>
  </si>
  <si>
    <t>0,13288</t>
  </si>
  <si>
    <t>0,19217</t>
  </si>
  <si>
    <t>0,10143</t>
  </si>
  <si>
    <t>730050</t>
  </si>
  <si>
    <t>2017-07-10</t>
  </si>
  <si>
    <t>Medins ID:3793</t>
  </si>
  <si>
    <t>0,27532</t>
  </si>
  <si>
    <t>0,35795</t>
  </si>
  <si>
    <t>0,33838</t>
  </si>
  <si>
    <t>5,32851</t>
  </si>
  <si>
    <t>2,20357</t>
  </si>
  <si>
    <t>0,33405</t>
  </si>
  <si>
    <t>0,11381</t>
  </si>
  <si>
    <t>0,04020</t>
  </si>
  <si>
    <t>730051</t>
  </si>
  <si>
    <t>2017-08-14</t>
  </si>
  <si>
    <t>14</t>
  </si>
  <si>
    <t>Medins ID:3794</t>
  </si>
  <si>
    <t>0,08966</t>
  </si>
  <si>
    <t>0,29624</t>
  </si>
  <si>
    <t>0,03957</t>
  </si>
  <si>
    <t>0,35484</t>
  </si>
  <si>
    <t>4,92689</t>
  </si>
  <si>
    <t>5,35085</t>
  </si>
  <si>
    <t>0,13279</t>
  </si>
  <si>
    <t>0,56848</t>
  </si>
  <si>
    <t>0,24281</t>
  </si>
  <si>
    <t>730052</t>
  </si>
  <si>
    <t>2017-09-14</t>
  </si>
  <si>
    <t>Medins ID:3795</t>
  </si>
  <si>
    <t>0,18396</t>
  </si>
  <si>
    <t>0,22285</t>
  </si>
  <si>
    <t>0,05664</t>
  </si>
  <si>
    <t>0,19627</t>
  </si>
  <si>
    <t>3,62524</t>
  </si>
  <si>
    <t>4,76548</t>
  </si>
  <si>
    <t>0,24230</t>
  </si>
  <si>
    <t>0,17469</t>
  </si>
  <si>
    <t>0,15416</t>
  </si>
  <si>
    <t>730047</t>
  </si>
  <si>
    <t>2017-10-09</t>
  </si>
  <si>
    <t>Medins ID:3796</t>
  </si>
  <si>
    <t>0,09175</t>
  </si>
  <si>
    <t>0,01668</t>
  </si>
  <si>
    <t>0,02374</t>
  </si>
  <si>
    <t>0,14152</t>
  </si>
  <si>
    <t>1,10063</t>
  </si>
  <si>
    <t>5,25148</t>
  </si>
  <si>
    <t>0,29961</t>
  </si>
  <si>
    <t>0,01474</t>
  </si>
  <si>
    <t>0,03947</t>
  </si>
  <si>
    <t>775785</t>
  </si>
  <si>
    <t>2018-05-08</t>
  </si>
  <si>
    <t>2018</t>
  </si>
  <si>
    <t>Medins ID:4144</t>
  </si>
  <si>
    <t>0,00305</t>
  </si>
  <si>
    <t>0,02153</t>
  </si>
  <si>
    <t>0,30728</t>
  </si>
  <si>
    <t>0,08866</t>
  </si>
  <si>
    <t>0,00641</t>
  </si>
  <si>
    <t>0,25484</t>
  </si>
  <si>
    <t>0,41449</t>
  </si>
  <si>
    <t>0,00484</t>
  </si>
  <si>
    <t>0,02310</t>
  </si>
  <si>
    <t>775786</t>
  </si>
  <si>
    <t>2018-06-08</t>
  </si>
  <si>
    <t>Medins ID:4143</t>
  </si>
  <si>
    <t>0,00516</t>
  </si>
  <si>
    <t>0,03550</t>
  </si>
  <si>
    <t>0,01384</t>
  </si>
  <si>
    <t>0,16879</t>
  </si>
  <si>
    <t>0,81321</t>
  </si>
  <si>
    <t>0,26841</t>
  </si>
  <si>
    <t>0,02177</t>
  </si>
  <si>
    <t>1,87944</t>
  </si>
  <si>
    <t>0,34932</t>
  </si>
  <si>
    <t>0,02136</t>
  </si>
  <si>
    <t>0,02728</t>
  </si>
  <si>
    <t>775787</t>
  </si>
  <si>
    <t>2018-07-10</t>
  </si>
  <si>
    <t>Medins ID:4145</t>
  </si>
  <si>
    <t>0,00259</t>
  </si>
  <si>
    <t>0,69201</t>
  </si>
  <si>
    <t>0,16185</t>
  </si>
  <si>
    <t>1,71370</t>
  </si>
  <si>
    <t>11,49476</t>
  </si>
  <si>
    <t>0,00228</t>
  </si>
  <si>
    <t>0,83889</t>
  </si>
  <si>
    <t>0,75061</t>
  </si>
  <si>
    <t>0,17338</t>
  </si>
  <si>
    <t>0,05880</t>
  </si>
  <si>
    <t>775788</t>
  </si>
  <si>
    <t>2018-08-15</t>
  </si>
  <si>
    <t>Medins ID:4146</t>
  </si>
  <si>
    <t>0,00272</t>
  </si>
  <si>
    <t>0,00137</t>
  </si>
  <si>
    <t>0,06247</t>
  </si>
  <si>
    <t>0,28925</t>
  </si>
  <si>
    <t>0,38253</t>
  </si>
  <si>
    <t>10,64727</t>
  </si>
  <si>
    <t>3,10086</t>
  </si>
  <si>
    <t>0,79271</t>
  </si>
  <si>
    <t>0,04482</t>
  </si>
  <si>
    <t>0,24321</t>
  </si>
  <si>
    <t>775789</t>
  </si>
  <si>
    <t>2018-09-14</t>
  </si>
  <si>
    <t>Medins ID:4147</t>
  </si>
  <si>
    <t>0,00073</t>
  </si>
  <si>
    <t>0,01198</t>
  </si>
  <si>
    <t>0,10171</t>
  </si>
  <si>
    <t>0,84097</t>
  </si>
  <si>
    <t>4,83236</t>
  </si>
  <si>
    <t>0,04185</t>
  </si>
  <si>
    <t>2,94526</t>
  </si>
  <si>
    <t>0,13241</t>
  </si>
  <si>
    <t>0,02023</t>
  </si>
  <si>
    <t>0,27085</t>
  </si>
  <si>
    <t>775784</t>
  </si>
  <si>
    <t>2018-10-05</t>
  </si>
  <si>
    <t>Medins ID:4148</t>
  </si>
  <si>
    <t>0,06908</t>
  </si>
  <si>
    <t>0,02202</t>
  </si>
  <si>
    <t>0,05027</t>
  </si>
  <si>
    <t>0,08423</t>
  </si>
  <si>
    <t>0,36884</t>
  </si>
  <si>
    <t>1,38681</t>
  </si>
  <si>
    <t>0,03956</t>
  </si>
  <si>
    <t>0,62517</t>
  </si>
  <si>
    <t>0,07546</t>
  </si>
  <si>
    <t>0,00098</t>
  </si>
  <si>
    <t>0,47740</t>
  </si>
  <si>
    <t>845553</t>
  </si>
  <si>
    <t>2019-05-08</t>
  </si>
  <si>
    <t>2019</t>
  </si>
  <si>
    <t>Medins ID:4424</t>
  </si>
  <si>
    <t>0,05456</t>
  </si>
  <si>
    <t>0,29364</t>
  </si>
  <si>
    <t>0,46199</t>
  </si>
  <si>
    <t>3,15830</t>
  </si>
  <si>
    <t>0,00024</t>
  </si>
  <si>
    <t>0,19216</t>
  </si>
  <si>
    <t>0,48877</t>
  </si>
  <si>
    <t>0,00965</t>
  </si>
  <si>
    <t>0,01274</t>
  </si>
  <si>
    <t>845554</t>
  </si>
  <si>
    <t>2019-06-18</t>
  </si>
  <si>
    <t>18</t>
  </si>
  <si>
    <t>Medins ID:4425</t>
  </si>
  <si>
    <t>0,02640</t>
  </si>
  <si>
    <t>0,12684</t>
  </si>
  <si>
    <t>0,24834</t>
  </si>
  <si>
    <t>0,00300</t>
  </si>
  <si>
    <t>0,78383</t>
  </si>
  <si>
    <t>1,82906</t>
  </si>
  <si>
    <t>0,00010</t>
  </si>
  <si>
    <t>0,22119</t>
  </si>
  <si>
    <t>4,95441</t>
  </si>
  <si>
    <t>0,03438</t>
  </si>
  <si>
    <t>0,08763</t>
  </si>
  <si>
    <t>845555</t>
  </si>
  <si>
    <t>2019-07-08</t>
  </si>
  <si>
    <t>Medins ID:4426</t>
  </si>
  <si>
    <t>0,00242</t>
  </si>
  <si>
    <t>0,16625</t>
  </si>
  <si>
    <t>0,08413</t>
  </si>
  <si>
    <t>0,02088</t>
  </si>
  <si>
    <t>0,30537</t>
  </si>
  <si>
    <t>5,33731</t>
  </si>
  <si>
    <t>0,00104</t>
  </si>
  <si>
    <t>1,72078</t>
  </si>
  <si>
    <t>0,18823</t>
  </si>
  <si>
    <t>0,04462</t>
  </si>
  <si>
    <t>0,09770</t>
  </si>
  <si>
    <t>845556</t>
  </si>
  <si>
    <t>2019-08-06</t>
  </si>
  <si>
    <t>Medins ID:4427</t>
  </si>
  <si>
    <t>0,00032</t>
  </si>
  <si>
    <t>0,17910</t>
  </si>
  <si>
    <t>0,12761</t>
  </si>
  <si>
    <t>0,21116</t>
  </si>
  <si>
    <t>14,72811</t>
  </si>
  <si>
    <t>0,00220</t>
  </si>
  <si>
    <t>0,59019</t>
  </si>
  <si>
    <t>0,10604</t>
  </si>
  <si>
    <t>0,00322</t>
  </si>
  <si>
    <t>0,25140</t>
  </si>
  <si>
    <t>845557</t>
  </si>
  <si>
    <t>2019-09-06</t>
  </si>
  <si>
    <t>Medins ID:4428</t>
  </si>
  <si>
    <t>0,00045</t>
  </si>
  <si>
    <t>0,00335</t>
  </si>
  <si>
    <t>0,02065</t>
  </si>
  <si>
    <t>0,46395</t>
  </si>
  <si>
    <t>0,01291</t>
  </si>
  <si>
    <t>0,09979</t>
  </si>
  <si>
    <t>0,02289</t>
  </si>
  <si>
    <t>0,18163</t>
  </si>
  <si>
    <t>1,01623</t>
  </si>
  <si>
    <t>0,00581</t>
  </si>
  <si>
    <t>0,04825</t>
  </si>
  <si>
    <t>845552</t>
  </si>
  <si>
    <t>2019-10-04</t>
  </si>
  <si>
    <t>Medins ID:4429</t>
  </si>
  <si>
    <t>0,00840</t>
  </si>
  <si>
    <t>0,10100</t>
  </si>
  <si>
    <t>0,00609</t>
  </si>
  <si>
    <t>0,06636</t>
  </si>
  <si>
    <t>0,00143</t>
  </si>
  <si>
    <t>0,00006</t>
  </si>
  <si>
    <t>0,04770</t>
  </si>
  <si>
    <t>0,09502</t>
  </si>
  <si>
    <t>0,00150</t>
  </si>
  <si>
    <t>0,00093</t>
  </si>
  <si>
    <t>1030614</t>
  </si>
  <si>
    <t>2020-05-12</t>
  </si>
  <si>
    <t>2020</t>
  </si>
  <si>
    <t>12</t>
  </si>
  <si>
    <t>Medins ID:4778</t>
  </si>
  <si>
    <t>0,00551</t>
  </si>
  <si>
    <t>0,06694</t>
  </si>
  <si>
    <t>0,52820</t>
  </si>
  <si>
    <t>0,01027</t>
  </si>
  <si>
    <t>0,16607</t>
  </si>
  <si>
    <t>0,29938</t>
  </si>
  <si>
    <t>0,00109</t>
  </si>
  <si>
    <t>0,01444</t>
  </si>
  <si>
    <t>1030615</t>
  </si>
  <si>
    <t>2020-06-10</t>
  </si>
  <si>
    <t>Medins ID:4779</t>
  </si>
  <si>
    <t>0,02824</t>
  </si>
  <si>
    <t>0,00153</t>
  </si>
  <si>
    <t>0,05498</t>
  </si>
  <si>
    <t>0,01520</t>
  </si>
  <si>
    <t>0,04698</t>
  </si>
  <si>
    <t>0,02888</t>
  </si>
  <si>
    <t>0,06895</t>
  </si>
  <si>
    <t>0,01166</t>
  </si>
  <si>
    <t>0,00009</t>
  </si>
  <si>
    <t>0,50239</t>
  </si>
  <si>
    <t>1030616</t>
  </si>
  <si>
    <t>2020-07-10</t>
  </si>
  <si>
    <t>Medins ID:4780</t>
  </si>
  <si>
    <t>0,12797</t>
  </si>
  <si>
    <t>0,00440</t>
  </si>
  <si>
    <t>0,05098</t>
  </si>
  <si>
    <t>0,01995</t>
  </si>
  <si>
    <t>0,16120</t>
  </si>
  <si>
    <t>0,03330</t>
  </si>
  <si>
    <t>0,42198</t>
  </si>
  <si>
    <t>0,06478</t>
  </si>
  <si>
    <t>0,01531</t>
  </si>
  <si>
    <t>0,07500</t>
  </si>
  <si>
    <t>1030617</t>
  </si>
  <si>
    <t>2020-08-05</t>
  </si>
  <si>
    <t>Medins ID:4781</t>
  </si>
  <si>
    <t>0,00237</t>
  </si>
  <si>
    <t>0,27342</t>
  </si>
  <si>
    <t>0,29655</t>
  </si>
  <si>
    <t>0,08990</t>
  </si>
  <si>
    <t>0,27185</t>
  </si>
  <si>
    <t>0,14223</t>
  </si>
  <si>
    <t>0,39407</t>
  </si>
  <si>
    <t>1,06114</t>
  </si>
  <si>
    <t>0,07329</t>
  </si>
  <si>
    <t>0,02692</t>
  </si>
  <si>
    <t>0,08954</t>
  </si>
  <si>
    <t>1030618</t>
  </si>
  <si>
    <t>2020-09-04</t>
  </si>
  <si>
    <t>Medins ID:4782</t>
  </si>
  <si>
    <t>0,09454</t>
  </si>
  <si>
    <t>0,12430</t>
  </si>
  <si>
    <t>0,04719</t>
  </si>
  <si>
    <t>0,03217</t>
  </si>
  <si>
    <t>0,04495</t>
  </si>
  <si>
    <t>0,01763</t>
  </si>
  <si>
    <t>0,16982</t>
  </si>
  <si>
    <t>0,07818</t>
  </si>
  <si>
    <t>0,00958</t>
  </si>
  <si>
    <t>0,01911</t>
  </si>
  <si>
    <t>1030613</t>
  </si>
  <si>
    <t>2020-10-01</t>
  </si>
  <si>
    <t>1</t>
  </si>
  <si>
    <t>Medins ID:4783</t>
  </si>
  <si>
    <t>0,18496</t>
  </si>
  <si>
    <t>0,41588</t>
  </si>
  <si>
    <t>0,04816</t>
  </si>
  <si>
    <t>0,00779</t>
  </si>
  <si>
    <t>0,04787</t>
  </si>
  <si>
    <t>0,32961</t>
  </si>
  <si>
    <t>0,00295</t>
  </si>
  <si>
    <t>0,00630</t>
  </si>
  <si>
    <t>1051010</t>
  </si>
  <si>
    <t>2021-05-11</t>
  </si>
  <si>
    <t>2021</t>
  </si>
  <si>
    <t>Medins ID:5031</t>
  </si>
  <si>
    <t>0,73228</t>
  </si>
  <si>
    <t>0,00682</t>
  </si>
  <si>
    <t>0,03260</t>
  </si>
  <si>
    <t>0,15152</t>
  </si>
  <si>
    <t>0,00466</t>
  </si>
  <si>
    <t>0,04808</t>
  </si>
  <si>
    <t>0,04735</t>
  </si>
  <si>
    <t>0,03764</t>
  </si>
  <si>
    <t>1051011</t>
  </si>
  <si>
    <t>2021-06-08</t>
  </si>
  <si>
    <t>Medins ID:5032</t>
  </si>
  <si>
    <t>0,04252</t>
  </si>
  <si>
    <t>0,91823</t>
  </si>
  <si>
    <t>0,05322</t>
  </si>
  <si>
    <t>0,00280</t>
  </si>
  <si>
    <t>1051012</t>
  </si>
  <si>
    <t>2021-07-05</t>
  </si>
  <si>
    <t>Medins ID:5033</t>
  </si>
  <si>
    <t>0,00184</t>
  </si>
  <si>
    <t>1,76264</t>
  </si>
  <si>
    <t>0,08389</t>
  </si>
  <si>
    <t>0,03912</t>
  </si>
  <si>
    <t>0,25875</t>
  </si>
  <si>
    <t>0,17615</t>
  </si>
  <si>
    <t>0,23976</t>
  </si>
  <si>
    <t>0,82459</t>
  </si>
  <si>
    <t>0,00407</t>
  </si>
  <si>
    <t>0,07189</t>
  </si>
  <si>
    <t>1051013</t>
  </si>
  <si>
    <t>2021-08-13</t>
  </si>
  <si>
    <t>Medins ID:5034</t>
  </si>
  <si>
    <t>0,01600</t>
  </si>
  <si>
    <t>0,08865</t>
  </si>
  <si>
    <t>0,01730</t>
  </si>
  <si>
    <t>0,01279</t>
  </si>
  <si>
    <t>0,12605</t>
  </si>
  <si>
    <t>0,16542</t>
  </si>
  <si>
    <t>0,11960</t>
  </si>
  <si>
    <t>0,23298</t>
  </si>
  <si>
    <t>0,30652</t>
  </si>
  <si>
    <t>0,00739</t>
  </si>
  <si>
    <t>0,04695</t>
  </si>
  <si>
    <t>1051014</t>
  </si>
  <si>
    <t>2021-09-15</t>
  </si>
  <si>
    <t>Medins ID:5035</t>
  </si>
  <si>
    <t>0,18244</t>
  </si>
  <si>
    <t>0,34460</t>
  </si>
  <si>
    <t>0,17077</t>
  </si>
  <si>
    <t>0,08350</t>
  </si>
  <si>
    <t>0,04043</t>
  </si>
  <si>
    <t>0,78599</t>
  </si>
  <si>
    <t>0,14212</t>
  </si>
  <si>
    <t>0,00546</t>
  </si>
  <si>
    <t>0,20692</t>
  </si>
  <si>
    <t>1051009</t>
  </si>
  <si>
    <t>2021-10-07</t>
  </si>
  <si>
    <t>Medins ID:5036</t>
  </si>
  <si>
    <t>0,03748</t>
  </si>
  <si>
    <t>0,33050</t>
  </si>
  <si>
    <t>0,00434</t>
  </si>
  <si>
    <t>0,09709</t>
  </si>
  <si>
    <t>0,08138</t>
  </si>
  <si>
    <t>0,36614</t>
  </si>
  <si>
    <t>0,26690</t>
  </si>
  <si>
    <t>0,00683</t>
  </si>
  <si>
    <t>1342122</t>
  </si>
  <si>
    <t>2022-05-04</t>
  </si>
  <si>
    <t>2022</t>
  </si>
  <si>
    <t>Medins ID:5203</t>
  </si>
  <si>
    <t>0,36477</t>
  </si>
  <si>
    <t>0,05809</t>
  </si>
  <si>
    <t>0,06054</t>
  </si>
  <si>
    <t>0,25396</t>
  </si>
  <si>
    <t>0,01323</t>
  </si>
  <si>
    <t>0,08193</t>
  </si>
  <si>
    <t>0,07605</t>
  </si>
  <si>
    <t>0,16943</t>
  </si>
  <si>
    <t>1342123</t>
  </si>
  <si>
    <t>2022-06-02</t>
  </si>
  <si>
    <t>2</t>
  </si>
  <si>
    <t>Medins ID:5204</t>
  </si>
  <si>
    <t>0,00044</t>
  </si>
  <si>
    <t>0,02003</t>
  </si>
  <si>
    <t>0,06845</t>
  </si>
  <si>
    <t>2,00645</t>
  </si>
  <si>
    <t>0,02332</t>
  </si>
  <si>
    <t>0,00399</t>
  </si>
  <si>
    <t>0,00318</t>
  </si>
  <si>
    <t>1342124</t>
  </si>
  <si>
    <t>2022-07-13</t>
  </si>
  <si>
    <t>Medins ID:5205</t>
  </si>
  <si>
    <t>0,00521</t>
  </si>
  <si>
    <t>0,53271</t>
  </si>
  <si>
    <t>0,00615</t>
  </si>
  <si>
    <t>0,45759</t>
  </si>
  <si>
    <t>0,35945</t>
  </si>
  <si>
    <t>0,12845</t>
  </si>
  <si>
    <t>0,68546</t>
  </si>
  <si>
    <t>0,05996</t>
  </si>
  <si>
    <t>0,05572</t>
  </si>
  <si>
    <t>0,22708</t>
  </si>
  <si>
    <t>1086930</t>
  </si>
  <si>
    <t>2022-08-10</t>
  </si>
  <si>
    <t>Medins ID:5207</t>
  </si>
  <si>
    <t>0,04049</t>
  </si>
  <si>
    <t>0,02243</t>
  </si>
  <si>
    <t>0,08619</t>
  </si>
  <si>
    <t>0,01192</t>
  </si>
  <si>
    <t>0,38673</t>
  </si>
  <si>
    <t>2,43527</t>
  </si>
  <si>
    <t>0,08307</t>
  </si>
  <si>
    <t>0,49720</t>
  </si>
  <si>
    <t>0,16700</t>
  </si>
  <si>
    <t>0,05005</t>
  </si>
  <si>
    <t>0,10764</t>
  </si>
  <si>
    <t>1342125</t>
  </si>
  <si>
    <t>2022-09-02</t>
  </si>
  <si>
    <t>Medins ID:5206</t>
  </si>
  <si>
    <t>0,00146</t>
  </si>
  <si>
    <t>0,13700</t>
  </si>
  <si>
    <t>0,59500</t>
  </si>
  <si>
    <t>1,01200</t>
  </si>
  <si>
    <t>0,05305</t>
  </si>
  <si>
    <t>0,92446</t>
  </si>
  <si>
    <t>0,24837</t>
  </si>
  <si>
    <t>0,14150</t>
  </si>
  <si>
    <t>0,22013</t>
  </si>
  <si>
    <t>1342121</t>
  </si>
  <si>
    <t>2022-10-05</t>
  </si>
  <si>
    <t>Medins ID:5208</t>
  </si>
  <si>
    <t>0,00223</t>
  </si>
  <si>
    <t>0,00707</t>
  </si>
  <si>
    <t>0,03324</t>
  </si>
  <si>
    <t>0,11090</t>
  </si>
  <si>
    <t>0,03091</t>
  </si>
  <si>
    <t>0,00598</t>
  </si>
  <si>
    <t>0,05838</t>
  </si>
  <si>
    <t>0,41225</t>
  </si>
  <si>
    <t>0,02288</t>
  </si>
  <si>
    <t>0,04529</t>
  </si>
  <si>
    <t>1341064</t>
  </si>
  <si>
    <t>2023-05-05</t>
  </si>
  <si>
    <t>2023</t>
  </si>
  <si>
    <t>Medins ID:5722</t>
  </si>
  <si>
    <t>0,31496</t>
  </si>
  <si>
    <t>0,02425</t>
  </si>
  <si>
    <t>0,01817</t>
  </si>
  <si>
    <t>0,04045</t>
  </si>
  <si>
    <t>0,00906</t>
  </si>
  <si>
    <t>0,05703</t>
  </si>
  <si>
    <t>0,27909</t>
  </si>
  <si>
    <t>0,00336</t>
  </si>
  <si>
    <t>0,06923</t>
  </si>
  <si>
    <t>1341065</t>
  </si>
  <si>
    <t>2023-06-09</t>
  </si>
  <si>
    <t>Medins ID:5723</t>
  </si>
  <si>
    <t>0,01190</t>
  </si>
  <si>
    <t>0,58830</t>
  </si>
  <si>
    <t>0,14669</t>
  </si>
  <si>
    <t>1,40834</t>
  </si>
  <si>
    <t>0,00082</t>
  </si>
  <si>
    <t>0,03114</t>
  </si>
  <si>
    <t>0,20694</t>
  </si>
  <si>
    <t>0,00647</t>
  </si>
  <si>
    <t>0,05675</t>
  </si>
  <si>
    <t>1341066</t>
  </si>
  <si>
    <t>2023-07-07</t>
  </si>
  <si>
    <t>Medins ID:5724</t>
  </si>
  <si>
    <t>0,35877</t>
  </si>
  <si>
    <t>0,12702</t>
  </si>
  <si>
    <t>0,05908</t>
  </si>
  <si>
    <t>0,15404</t>
  </si>
  <si>
    <t>0,13648</t>
  </si>
  <si>
    <t>0,18671</t>
  </si>
  <si>
    <t>0,04047</t>
  </si>
  <si>
    <t>0,03656</t>
  </si>
  <si>
    <t>0,05652</t>
  </si>
  <si>
    <t>1301751</t>
  </si>
  <si>
    <t>2023-08-09</t>
  </si>
  <si>
    <t>Medins ID:5725</t>
  </si>
  <si>
    <t>0,08575</t>
  </si>
  <si>
    <t>0,30022</t>
  </si>
  <si>
    <t>7,98842</t>
  </si>
  <si>
    <t>0,10123</t>
  </si>
  <si>
    <t>0,27183</t>
  </si>
  <si>
    <t>0,00152</t>
  </si>
  <si>
    <t>0,06382</t>
  </si>
  <si>
    <t>1341063</t>
  </si>
  <si>
    <t>2023-10-04</t>
  </si>
  <si>
    <t>Medins ID:5726</t>
  </si>
  <si>
    <t>0,03379</t>
  </si>
  <si>
    <t>0,00278</t>
  </si>
  <si>
    <t>0,01460</t>
  </si>
  <si>
    <t>0,04374</t>
  </si>
  <si>
    <t>0,03981</t>
  </si>
  <si>
    <t>0,39567</t>
  </si>
  <si>
    <t>0,01794</t>
  </si>
  <si>
    <t>1,59222</t>
  </si>
  <si>
    <t>0,24203</t>
  </si>
  <si>
    <t>0,01795</t>
  </si>
  <si>
    <t>0,02034</t>
  </si>
  <si>
    <t>1345303</t>
  </si>
  <si>
    <t>2024-05-15</t>
  </si>
  <si>
    <t>2024</t>
  </si>
  <si>
    <t>Medins ID:5997</t>
  </si>
  <si>
    <t>1,65754</t>
  </si>
  <si>
    <t>0,00360</t>
  </si>
  <si>
    <t>0,10813</t>
  </si>
  <si>
    <t>0,00800</t>
  </si>
  <si>
    <t>0,11949</t>
  </si>
  <si>
    <t>1,40931</t>
  </si>
  <si>
    <t>0,00016</t>
  </si>
  <si>
    <t>0,03665</t>
  </si>
  <si>
    <t>0,12164</t>
  </si>
  <si>
    <t>0,07230</t>
  </si>
  <si>
    <t>1345304</t>
  </si>
  <si>
    <t>2024-06-12</t>
  </si>
  <si>
    <t>Medins ID:5996</t>
  </si>
  <si>
    <t>0,06075</t>
  </si>
  <si>
    <t>0,18133</t>
  </si>
  <si>
    <t>0,00752</t>
  </si>
  <si>
    <t>0,19056</t>
  </si>
  <si>
    <t>8,64904</t>
  </si>
  <si>
    <t>0,02945</t>
  </si>
  <si>
    <t>0,02566</t>
  </si>
  <si>
    <t>0,01849</t>
  </si>
  <si>
    <t>0,10427</t>
  </si>
  <si>
    <t>0,08714</t>
  </si>
  <si>
    <t>1345305</t>
  </si>
  <si>
    <t>2024-07-09</t>
  </si>
  <si>
    <t>Medins ID:5995</t>
  </si>
  <si>
    <t>1,74674</t>
  </si>
  <si>
    <t>0,03855</t>
  </si>
  <si>
    <t>0,09045</t>
  </si>
  <si>
    <t>0,13934</t>
  </si>
  <si>
    <t>4,42758</t>
  </si>
  <si>
    <t>0,00663</t>
  </si>
  <si>
    <t>0,11126</t>
  </si>
  <si>
    <t>0,21298</t>
  </si>
  <si>
    <t>0,05342</t>
  </si>
  <si>
    <t>0,01272</t>
  </si>
  <si>
    <t>1345306</t>
  </si>
  <si>
    <t>2024-08-07</t>
  </si>
  <si>
    <t>Medins ID:5994</t>
  </si>
  <si>
    <t>0,02010</t>
  </si>
  <si>
    <t>0,00754</t>
  </si>
  <si>
    <t>0,08829</t>
  </si>
  <si>
    <t>0,17558</t>
  </si>
  <si>
    <t>14,41408</t>
  </si>
  <si>
    <t>0,10321</t>
  </si>
  <si>
    <t>0,29711</t>
  </si>
  <si>
    <t>0,00781</t>
  </si>
  <si>
    <t>0,05567</t>
  </si>
  <si>
    <t>1345307</t>
  </si>
  <si>
    <t>2024-09-03</t>
  </si>
  <si>
    <t>Medins ID:5993</t>
  </si>
  <si>
    <t>0,00321</t>
  </si>
  <si>
    <t>0,07228</t>
  </si>
  <si>
    <t>0,06702</t>
  </si>
  <si>
    <t>0,78951</t>
  </si>
  <si>
    <t>1,90953</t>
  </si>
  <si>
    <t>0,11983</t>
  </si>
  <si>
    <t>0,09376</t>
  </si>
  <si>
    <t>0,16053</t>
  </si>
  <si>
    <t>0,37179</t>
  </si>
  <si>
    <t>0,15435</t>
  </si>
  <si>
    <t>1345302</t>
  </si>
  <si>
    <t>2024-10-10</t>
  </si>
  <si>
    <t>Medins ID:5998</t>
  </si>
  <si>
    <t>0,01290</t>
  </si>
  <si>
    <t>0,01956</t>
  </si>
  <si>
    <t>0,04409</t>
  </si>
  <si>
    <t>0,21263</t>
  </si>
  <si>
    <t>0,96648</t>
  </si>
  <si>
    <t>0,05404</t>
  </si>
  <si>
    <t>0,26296</t>
  </si>
  <si>
    <t>0,99017</t>
  </si>
  <si>
    <t>0,04514</t>
  </si>
  <si>
    <t>0,28320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</si>
</sst>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\1"/>
  </numFmts>
  <fonts count="5">
    <font>
      <sz val="11"/>
      <name val="Calibri"/>
    </font>
    <font>
      <b/>
      <sz val="11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7C7AC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/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14" fontId="0" fillId="0" borderId="0" xfId="0" applyNumberFormat="1"/>
    <xf numFmtId="0" fontId="2" fillId="8" borderId="0" xfId="0" applyFont="1" applyFill="1" applyAlignment="1">
      <alignment wrapText="1"/>
    </xf>
    <xf numFmtId="0" fontId="2" fillId="9" borderId="0" xfId="0" applyFont="1" applyFill="1" applyAlignment="1">
      <alignment wrapText="1"/>
    </xf>
    <xf numFmtId="0" fontId="2" fillId="10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3" fillId="0" borderId="0" xfId="0" applyFont="1"/>
    <xf numFmtId="2" fontId="0" fillId="0" borderId="0" xfId="0" applyNumberFormat="1"/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</cellXfs>
  <cellStyles count="2">
    <cellStyle name="Normal" xfId="0" builtinId="0"/>
    <cellStyle name="Normal 2" xfId="1" xr:uid="{F339974E-3639-4101-8F2E-AF87C278EA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'Phy Chem Chla Phytoplankton '!$AE$1</c:f>
              <c:strCache>
                <c:ptCount val="1"/>
                <c:pt idx="0">
                  <c:v>Chl-a (µg/L) at 0,5 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'Phy Chem Chla Phytoplankton '!$AC$2:$AC$63</c:f>
              <c:numCache>
                <c:formatCode>General</c:formatCode>
                <c:ptCount val="7"/>
                <c:pt idx="0">
                  <c:v>1.9</c:v>
                </c:pt>
                <c:pt idx="1">
                  <c:v>1.4</c:v>
                </c:pt>
                <c:pt idx="2">
                  <c:v>8.6999999999999993</c:v>
                </c:pt>
                <c:pt idx="3">
                  <c:v>4.4000000000000004</c:v>
                </c:pt>
                <c:pt idx="4">
                  <c:v>3.6</c:v>
                </c:pt>
                <c:pt idx="5">
                  <c:v>1.9</c:v>
                </c:pt>
                <c:pt idx="6">
                  <c:v>1.4</c:v>
                </c:pt>
              </c:numCache>
            </c:numRef>
          </c:xVal>
          <c:yVal>
            <c:numRef>
              <c:f>'Phy Chem Chla Phytoplankton '!$AE$2:$AE$63</c:f>
              <c:numCache>
                <c:formatCode>General</c:formatCode>
                <c:ptCount val="7"/>
                <c:pt idx="0">
                  <c:v>5.6</c:v>
                </c:pt>
                <c:pt idx="1">
                  <c:v>10</c:v>
                </c:pt>
                <c:pt idx="2">
                  <c:v>42</c:v>
                </c:pt>
                <c:pt idx="3">
                  <c:v>28</c:v>
                </c:pt>
                <c:pt idx="4">
                  <c:v>20</c:v>
                </c:pt>
                <c:pt idx="5">
                  <c:v>12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77-430E-A8E7-B733CE2CD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156640"/>
        <c:axId val="1715665120"/>
      </c:scatterChart>
      <c:valAx>
        <c:axId val="47715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15665120"/>
        <c:crosses val="autoZero"/>
        <c:crossBetween val="midCat"/>
      </c:valAx>
      <c:valAx>
        <c:axId val="171566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7715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472440</xdr:colOff>
      <xdr:row>12</xdr:row>
      <xdr:rowOff>9531</xdr:rowOff>
    </xdr:from>
    <xdr:to>
      <xdr:col>40</xdr:col>
      <xdr:colOff>173355</xdr:colOff>
      <xdr:row>27</xdr:row>
      <xdr:rowOff>38106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205F4BE-33B8-A30C-70BD-8353EBE04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7</xdr:row>
      <xdr:rowOff>171450</xdr:rowOff>
    </xdr:from>
    <xdr:to>
      <xdr:col>6</xdr:col>
      <xdr:colOff>514350</xdr:colOff>
      <xdr:row>18</xdr:row>
      <xdr:rowOff>104775</xdr:rowOff>
    </xdr:to>
    <xdr:sp macro="" textlink="">
      <xdr:nvSpPr>
        <xdr:cNvPr id="2" name="textruta 1">
          <a:extLst>
            <a:ext uri="{FF2B5EF4-FFF2-40B4-BE49-F238E27FC236}">
              <a16:creationId xmlns:a16="http://schemas.microsoft.com/office/drawing/2014/main" id="{FD31E7EC-927C-C355-8867-186A09EAC98E}"/>
            </a:ext>
          </a:extLst>
        </xdr:cNvPr>
        <xdr:cNvSpPr txBox="1"/>
      </xdr:nvSpPr>
      <xdr:spPr>
        <a:xfrm>
          <a:off x="4933950" y="1619250"/>
          <a:ext cx="3933825" cy="19240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Not sorted</a:t>
          </a:r>
          <a:r>
            <a:rPr lang="sv-SE" sz="1100" baseline="0"/>
            <a:t> or </a:t>
          </a:r>
          <a:r>
            <a:rPr lang="sv-SE" sz="1100"/>
            <a:t>grouped by Stina. Original downloaded data 2015-2025.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X69"/>
  <sheetViews>
    <sheetView tabSelected="1" topLeftCell="Z1" workbookViewId="0">
      <pane ySplit="1" topLeftCell="AC57" activePane="bottomLeft" state="frozen"/>
      <selection pane="bottomLeft" activeCell="A57" sqref="A57"/>
      <selection activeCell="J1" sqref="J1"/>
    </sheetView>
  </sheetViews>
  <sheetFormatPr defaultRowHeight="14.45"/>
  <cols>
    <col min="1" max="1" width="18.28515625" bestFit="1" customWidth="1"/>
    <col min="2" max="2" width="15.28515625" customWidth="1"/>
    <col min="3" max="6" width="12.7109375" customWidth="1"/>
    <col min="7" max="7" width="20.42578125" customWidth="1"/>
    <col min="8" max="10" width="7.7109375" customWidth="1"/>
    <col min="11" max="11" width="7.7109375" style="2" customWidth="1"/>
    <col min="12" max="31" width="12.7109375" customWidth="1"/>
    <col min="50" max="50" width="27.28515625" customWidth="1"/>
  </cols>
  <sheetData>
    <row r="1" spans="1:50" ht="98.4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9" t="s">
        <v>27</v>
      </c>
      <c r="AC1" s="4" t="s">
        <v>28</v>
      </c>
      <c r="AD1" s="3" t="s">
        <v>29</v>
      </c>
      <c r="AE1" s="14" t="s">
        <v>30</v>
      </c>
      <c r="AF1" s="14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8" t="s">
        <v>49</v>
      </c>
    </row>
    <row r="2" spans="1:50" hidden="1">
      <c r="A2" t="s">
        <v>50</v>
      </c>
      <c r="B2">
        <v>147647</v>
      </c>
      <c r="C2">
        <v>6300430</v>
      </c>
      <c r="D2">
        <v>486800</v>
      </c>
      <c r="E2" t="s">
        <v>51</v>
      </c>
      <c r="F2" t="s">
        <v>52</v>
      </c>
      <c r="G2" s="5">
        <v>42136</v>
      </c>
      <c r="H2">
        <v>2015</v>
      </c>
      <c r="I2">
        <v>5</v>
      </c>
      <c r="J2">
        <v>12</v>
      </c>
      <c r="K2">
        <v>0.5</v>
      </c>
      <c r="L2">
        <v>1</v>
      </c>
      <c r="M2">
        <v>11.6</v>
      </c>
      <c r="N2">
        <v>11.7</v>
      </c>
      <c r="O2">
        <v>108</v>
      </c>
      <c r="P2">
        <v>7.5</v>
      </c>
      <c r="Q2">
        <v>0.42</v>
      </c>
      <c r="R2">
        <v>17.5</v>
      </c>
      <c r="S2" t="s">
        <v>53</v>
      </c>
      <c r="T2" t="s">
        <v>53</v>
      </c>
      <c r="U2">
        <v>740</v>
      </c>
      <c r="V2">
        <v>6.5</v>
      </c>
      <c r="W2">
        <v>75</v>
      </c>
      <c r="AA2">
        <v>6.0999999999999999E-2</v>
      </c>
      <c r="AB2" s="11">
        <f>AA2/0.03</f>
        <v>2.0333333333333332</v>
      </c>
      <c r="AC2">
        <v>16</v>
      </c>
      <c r="AD2">
        <v>8.6999999999999993</v>
      </c>
      <c r="AE2">
        <v>30</v>
      </c>
      <c r="AF2">
        <f>SUM(AG2:AQ2)</f>
        <v>8.2007197539999996</v>
      </c>
      <c r="AJ2">
        <v>5.8474623000000003E-2</v>
      </c>
      <c r="AK2">
        <v>1.2260121319999999</v>
      </c>
      <c r="AL2">
        <v>5.2484377459999996</v>
      </c>
      <c r="AM2">
        <v>3.8095281000000002E-2</v>
      </c>
      <c r="AN2">
        <v>1.515389165</v>
      </c>
      <c r="AO2">
        <v>6.5819043999999993E-2</v>
      </c>
      <c r="AP2">
        <v>3.478273E-3</v>
      </c>
      <c r="AQ2">
        <v>4.5013490000000003E-2</v>
      </c>
      <c r="AR2">
        <v>1.515389165</v>
      </c>
      <c r="AS2">
        <v>6.5819043999999993E-2</v>
      </c>
      <c r="AT2">
        <v>5.2484377459999996</v>
      </c>
      <c r="AU2">
        <v>8.3108770999999998E-2</v>
      </c>
      <c r="AV2">
        <v>1.2879650279999999</v>
      </c>
      <c r="AW2">
        <v>0</v>
      </c>
      <c r="AX2">
        <v>8.2007197539999996</v>
      </c>
    </row>
    <row r="3" spans="1:50" hidden="1">
      <c r="A3" t="s">
        <v>50</v>
      </c>
      <c r="B3">
        <v>147647</v>
      </c>
      <c r="C3">
        <v>6300430</v>
      </c>
      <c r="D3">
        <v>486800</v>
      </c>
      <c r="E3" t="s">
        <v>51</v>
      </c>
      <c r="F3" t="s">
        <v>52</v>
      </c>
      <c r="G3" s="5">
        <v>42158</v>
      </c>
      <c r="H3">
        <v>2015</v>
      </c>
      <c r="I3">
        <v>6</v>
      </c>
      <c r="J3">
        <v>3</v>
      </c>
      <c r="K3">
        <v>0.5</v>
      </c>
      <c r="L3">
        <v>0.8</v>
      </c>
      <c r="M3">
        <v>13.4</v>
      </c>
      <c r="N3">
        <v>10.199999999999999</v>
      </c>
      <c r="O3">
        <v>97.8</v>
      </c>
      <c r="P3">
        <v>7.6</v>
      </c>
      <c r="Q3">
        <v>0.42</v>
      </c>
      <c r="R3">
        <v>17.3</v>
      </c>
      <c r="S3">
        <v>36</v>
      </c>
      <c r="T3">
        <v>44</v>
      </c>
      <c r="U3">
        <v>1200</v>
      </c>
      <c r="V3">
        <v>28</v>
      </c>
      <c r="W3">
        <v>93</v>
      </c>
      <c r="X3" t="s">
        <v>54</v>
      </c>
      <c r="Y3" t="s">
        <v>54</v>
      </c>
      <c r="Z3" t="s">
        <v>54</v>
      </c>
      <c r="AA3">
        <v>0.1</v>
      </c>
      <c r="AB3" s="11">
        <f t="shared" ref="AB3:AB66" si="0">AA3/0.03</f>
        <v>3.3333333333333335</v>
      </c>
      <c r="AC3">
        <v>20</v>
      </c>
      <c r="AD3">
        <v>11</v>
      </c>
      <c r="AE3">
        <v>79</v>
      </c>
      <c r="AF3">
        <f t="shared" ref="AF3:AF62" si="1">SUM(AG3:AQ3)</f>
        <v>17.976825782999999</v>
      </c>
      <c r="AK3">
        <v>3.1924681000000001</v>
      </c>
      <c r="AL3">
        <v>10.929679938</v>
      </c>
      <c r="AN3">
        <v>3.6840702740000002</v>
      </c>
      <c r="AO3">
        <v>8.0497809000000003E-2</v>
      </c>
      <c r="AP3">
        <v>4.4320782000000003E-2</v>
      </c>
      <c r="AQ3">
        <v>4.5788879999999997E-2</v>
      </c>
      <c r="AR3">
        <v>3.6840702740000002</v>
      </c>
      <c r="AS3">
        <v>8.0497809000000003E-2</v>
      </c>
      <c r="AT3">
        <v>10.929679938</v>
      </c>
      <c r="AU3">
        <v>4.5788879999999997E-2</v>
      </c>
      <c r="AV3">
        <v>3.2546420710000001</v>
      </c>
      <c r="AW3">
        <v>7.3794969999999996E-3</v>
      </c>
      <c r="AX3">
        <v>17.976825782999999</v>
      </c>
    </row>
    <row r="4" spans="1:50" hidden="1">
      <c r="A4" t="s">
        <v>50</v>
      </c>
      <c r="B4">
        <v>147647</v>
      </c>
      <c r="C4">
        <v>6300430</v>
      </c>
      <c r="D4">
        <v>486800</v>
      </c>
      <c r="E4" t="s">
        <v>51</v>
      </c>
      <c r="F4" t="s">
        <v>52</v>
      </c>
      <c r="G4" s="5">
        <v>42194</v>
      </c>
      <c r="H4">
        <v>2015</v>
      </c>
      <c r="I4">
        <v>7</v>
      </c>
      <c r="J4">
        <v>9</v>
      </c>
      <c r="K4">
        <v>0.5</v>
      </c>
      <c r="L4">
        <v>0.65</v>
      </c>
      <c r="M4">
        <v>19</v>
      </c>
      <c r="N4">
        <v>7.9</v>
      </c>
      <c r="O4">
        <v>85.2</v>
      </c>
      <c r="P4">
        <v>7.6</v>
      </c>
      <c r="Q4">
        <v>0.53</v>
      </c>
      <c r="R4">
        <v>18.2</v>
      </c>
      <c r="S4">
        <v>64</v>
      </c>
      <c r="T4">
        <v>14</v>
      </c>
      <c r="U4">
        <v>1900</v>
      </c>
      <c r="V4">
        <v>16</v>
      </c>
      <c r="W4">
        <v>130</v>
      </c>
      <c r="X4" t="s">
        <v>54</v>
      </c>
      <c r="Y4" t="s">
        <v>54</v>
      </c>
      <c r="Z4" t="s">
        <v>54</v>
      </c>
      <c r="AA4">
        <v>0.1</v>
      </c>
      <c r="AB4" s="11">
        <f t="shared" si="0"/>
        <v>3.3333333333333335</v>
      </c>
      <c r="AC4">
        <v>30</v>
      </c>
      <c r="AD4">
        <v>13</v>
      </c>
      <c r="AE4" t="s">
        <v>54</v>
      </c>
      <c r="AF4">
        <f t="shared" si="1"/>
        <v>25.395309529000002</v>
      </c>
      <c r="AI4">
        <v>1.8915659000000001E-2</v>
      </c>
      <c r="AK4">
        <v>0.64579500300000003</v>
      </c>
      <c r="AL4">
        <v>22.709961637999999</v>
      </c>
      <c r="AN4">
        <v>1.5392720040000001</v>
      </c>
      <c r="AO4">
        <v>0.31980155100000002</v>
      </c>
      <c r="AP4">
        <v>0.11051436100000001</v>
      </c>
      <c r="AQ4">
        <v>5.1049312999999999E-2</v>
      </c>
      <c r="AR4">
        <v>1.558187663</v>
      </c>
      <c r="AS4">
        <v>0.31980155100000002</v>
      </c>
      <c r="AT4">
        <v>22.709961637999999</v>
      </c>
      <c r="AU4">
        <v>5.1049312999999999E-2</v>
      </c>
      <c r="AV4">
        <v>0.75630936400000004</v>
      </c>
      <c r="AW4">
        <v>8.4006181999999999E-2</v>
      </c>
      <c r="AX4">
        <v>25.395309529000002</v>
      </c>
    </row>
    <row r="5" spans="1:50" hidden="1">
      <c r="A5" t="s">
        <v>50</v>
      </c>
      <c r="B5">
        <v>147647</v>
      </c>
      <c r="C5">
        <v>6300430</v>
      </c>
      <c r="D5">
        <v>486800</v>
      </c>
      <c r="E5" t="s">
        <v>51</v>
      </c>
      <c r="F5" t="s">
        <v>52</v>
      </c>
      <c r="G5" s="5">
        <v>42236</v>
      </c>
      <c r="H5">
        <v>2015</v>
      </c>
      <c r="I5">
        <v>8</v>
      </c>
      <c r="J5">
        <v>20</v>
      </c>
      <c r="K5">
        <v>0.5</v>
      </c>
      <c r="L5">
        <v>0.7</v>
      </c>
      <c r="M5">
        <v>19.3</v>
      </c>
      <c r="N5">
        <v>9.8000000000000007</v>
      </c>
      <c r="O5">
        <v>106</v>
      </c>
      <c r="P5">
        <v>8.1</v>
      </c>
      <c r="Q5">
        <v>0.59</v>
      </c>
      <c r="R5">
        <v>18.399999999999999</v>
      </c>
      <c r="S5">
        <v>16</v>
      </c>
      <c r="T5" t="s">
        <v>53</v>
      </c>
      <c r="U5">
        <v>1400</v>
      </c>
      <c r="V5">
        <v>12</v>
      </c>
      <c r="W5">
        <v>140</v>
      </c>
      <c r="X5" t="s">
        <v>54</v>
      </c>
      <c r="Y5" t="s">
        <v>54</v>
      </c>
      <c r="Z5" t="s">
        <v>54</v>
      </c>
      <c r="AA5">
        <v>5.2999999999999999E-2</v>
      </c>
      <c r="AB5" s="11">
        <f t="shared" si="0"/>
        <v>1.7666666666666666</v>
      </c>
      <c r="AC5">
        <v>23</v>
      </c>
      <c r="AD5">
        <v>11</v>
      </c>
      <c r="AE5">
        <v>86</v>
      </c>
      <c r="AF5">
        <f t="shared" si="1"/>
        <v>38.603851846000005</v>
      </c>
      <c r="AI5">
        <v>5.0924373190000001</v>
      </c>
      <c r="AJ5">
        <v>0.27550122700000002</v>
      </c>
      <c r="AK5">
        <v>1.9650608110000001</v>
      </c>
      <c r="AL5">
        <v>13.870639690999999</v>
      </c>
      <c r="AM5">
        <v>1.6911348E-2</v>
      </c>
      <c r="AN5">
        <v>17.069808311999999</v>
      </c>
      <c r="AO5">
        <v>0.16862891799999999</v>
      </c>
      <c r="AP5">
        <v>6.9240573E-2</v>
      </c>
      <c r="AQ5">
        <v>7.5623647000000002E-2</v>
      </c>
      <c r="AR5">
        <v>22.162245631000001</v>
      </c>
      <c r="AS5">
        <v>0.16862891799999999</v>
      </c>
      <c r="AT5">
        <v>13.870639690999999</v>
      </c>
      <c r="AU5">
        <v>9.2534994999999995E-2</v>
      </c>
      <c r="AV5">
        <v>2.3098026109999998</v>
      </c>
      <c r="AW5">
        <v>5.8773594999999998E-2</v>
      </c>
      <c r="AX5">
        <v>38.603851846000005</v>
      </c>
    </row>
    <row r="6" spans="1:50" hidden="1">
      <c r="A6" t="s">
        <v>50</v>
      </c>
      <c r="B6">
        <v>147647</v>
      </c>
      <c r="C6">
        <v>6300430</v>
      </c>
      <c r="D6">
        <v>486800</v>
      </c>
      <c r="E6" t="s">
        <v>51</v>
      </c>
      <c r="F6" t="s">
        <v>52</v>
      </c>
      <c r="G6" s="5">
        <v>42257</v>
      </c>
      <c r="H6">
        <v>2015</v>
      </c>
      <c r="I6">
        <v>9</v>
      </c>
      <c r="J6">
        <v>10</v>
      </c>
      <c r="K6">
        <v>0.5</v>
      </c>
      <c r="L6">
        <v>0.8</v>
      </c>
      <c r="M6">
        <v>14.8</v>
      </c>
      <c r="N6">
        <v>9.8000000000000007</v>
      </c>
      <c r="O6">
        <v>96.9</v>
      </c>
      <c r="P6">
        <v>7.8</v>
      </c>
      <c r="Q6">
        <v>0.6</v>
      </c>
      <c r="R6">
        <v>18.600000000000001</v>
      </c>
      <c r="S6" t="s">
        <v>53</v>
      </c>
      <c r="T6" t="s">
        <v>53</v>
      </c>
      <c r="U6">
        <v>1100</v>
      </c>
      <c r="V6">
        <v>14</v>
      </c>
      <c r="W6">
        <v>130</v>
      </c>
      <c r="X6" t="s">
        <v>54</v>
      </c>
      <c r="Y6" t="s">
        <v>54</v>
      </c>
      <c r="Z6" t="s">
        <v>54</v>
      </c>
      <c r="AA6">
        <v>5.7000000000000002E-2</v>
      </c>
      <c r="AB6" s="11">
        <f t="shared" si="0"/>
        <v>1.9000000000000001</v>
      </c>
      <c r="AC6">
        <v>22</v>
      </c>
      <c r="AD6">
        <v>9.4</v>
      </c>
      <c r="AE6">
        <v>73</v>
      </c>
      <c r="AF6">
        <f t="shared" si="1"/>
        <v>25.386151363</v>
      </c>
      <c r="AH6">
        <v>2.1873481E-2</v>
      </c>
      <c r="AI6">
        <v>1.4972391E-2</v>
      </c>
      <c r="AJ6">
        <v>1.1959811000000001E-2</v>
      </c>
      <c r="AK6">
        <v>1.2429560630000001</v>
      </c>
      <c r="AL6">
        <v>11.473408767</v>
      </c>
      <c r="AM6">
        <v>1.076383E-2</v>
      </c>
      <c r="AN6">
        <v>12.205062191</v>
      </c>
      <c r="AO6">
        <v>0.26119252100000001</v>
      </c>
      <c r="AP6">
        <v>8.6426134000000002E-2</v>
      </c>
      <c r="AQ6">
        <v>5.7536174000000002E-2</v>
      </c>
      <c r="AR6">
        <v>12.220034582</v>
      </c>
      <c r="AS6">
        <v>0.26119252100000001</v>
      </c>
      <c r="AT6">
        <v>11.473408767</v>
      </c>
      <c r="AU6">
        <v>9.0173484999999998E-2</v>
      </c>
      <c r="AV6">
        <v>1.341342008</v>
      </c>
      <c r="AW6">
        <v>4.5741970000000003E-3</v>
      </c>
      <c r="AX6">
        <v>25.386151363</v>
      </c>
    </row>
    <row r="7" spans="1:50" hidden="1">
      <c r="A7" t="s">
        <v>50</v>
      </c>
      <c r="B7">
        <v>147647</v>
      </c>
      <c r="C7">
        <v>6300430</v>
      </c>
      <c r="D7">
        <v>486800</v>
      </c>
      <c r="E7" t="s">
        <v>51</v>
      </c>
      <c r="F7" t="s">
        <v>52</v>
      </c>
      <c r="G7" s="5">
        <v>42284</v>
      </c>
      <c r="H7">
        <v>2015</v>
      </c>
      <c r="I7">
        <v>10</v>
      </c>
      <c r="J7">
        <v>7</v>
      </c>
      <c r="K7">
        <v>0.5</v>
      </c>
      <c r="L7">
        <v>0.9</v>
      </c>
      <c r="M7">
        <v>10.8</v>
      </c>
      <c r="N7">
        <v>9.6999999999999993</v>
      </c>
      <c r="O7">
        <v>87.6</v>
      </c>
      <c r="P7">
        <v>7.5</v>
      </c>
      <c r="Q7">
        <v>0.56000000000000005</v>
      </c>
      <c r="R7">
        <v>18.3</v>
      </c>
      <c r="S7">
        <v>44</v>
      </c>
      <c r="T7" t="s">
        <v>53</v>
      </c>
      <c r="U7">
        <v>1200</v>
      </c>
      <c r="V7">
        <v>47</v>
      </c>
      <c r="W7">
        <v>130</v>
      </c>
      <c r="X7" t="s">
        <v>54</v>
      </c>
      <c r="Y7" t="s">
        <v>54</v>
      </c>
      <c r="Z7" t="s">
        <v>54</v>
      </c>
      <c r="AA7">
        <v>5.0999999999999997E-2</v>
      </c>
      <c r="AB7" s="11">
        <f t="shared" si="0"/>
        <v>1.7</v>
      </c>
      <c r="AC7">
        <v>15</v>
      </c>
      <c r="AD7">
        <v>10</v>
      </c>
      <c r="AE7">
        <v>39</v>
      </c>
      <c r="AF7">
        <f t="shared" si="1"/>
        <v>12.456577438999998</v>
      </c>
      <c r="AJ7">
        <v>0.29232325999999997</v>
      </c>
      <c r="AK7">
        <v>0.99799503099999998</v>
      </c>
      <c r="AL7">
        <v>1.1782333979999999</v>
      </c>
      <c r="AM7">
        <v>9.2243700000000002E-4</v>
      </c>
      <c r="AN7">
        <v>6.3562768280000004</v>
      </c>
      <c r="AO7">
        <v>3.591398657</v>
      </c>
      <c r="AP7">
        <v>4.569404E-3</v>
      </c>
      <c r="AQ7">
        <v>3.4858423999999999E-2</v>
      </c>
      <c r="AR7">
        <v>6.3562768280000004</v>
      </c>
      <c r="AS7">
        <v>3.591398657</v>
      </c>
      <c r="AT7">
        <v>1.1782333979999999</v>
      </c>
      <c r="AU7">
        <v>3.5780860999999997E-2</v>
      </c>
      <c r="AV7">
        <v>1.3014476559999999</v>
      </c>
      <c r="AW7">
        <v>1.2699289999999999E-3</v>
      </c>
      <c r="AX7">
        <v>12.456577438999998</v>
      </c>
    </row>
    <row r="8" spans="1:50" hidden="1">
      <c r="A8" t="s">
        <v>50</v>
      </c>
      <c r="B8">
        <v>147647</v>
      </c>
      <c r="C8">
        <v>6300430</v>
      </c>
      <c r="D8">
        <v>486800</v>
      </c>
      <c r="E8" t="s">
        <v>51</v>
      </c>
      <c r="F8" t="s">
        <v>52</v>
      </c>
      <c r="G8" s="5">
        <v>42494</v>
      </c>
      <c r="H8">
        <v>2016</v>
      </c>
      <c r="I8">
        <v>5</v>
      </c>
      <c r="J8">
        <v>4</v>
      </c>
      <c r="K8">
        <v>0.5</v>
      </c>
      <c r="L8">
        <v>1.5</v>
      </c>
      <c r="M8">
        <v>11.7</v>
      </c>
      <c r="N8">
        <v>11.4</v>
      </c>
      <c r="O8">
        <v>105</v>
      </c>
      <c r="P8">
        <v>7.6</v>
      </c>
      <c r="Q8">
        <v>0.43</v>
      </c>
      <c r="R8">
        <v>18.399999999999999</v>
      </c>
      <c r="S8">
        <v>14</v>
      </c>
      <c r="T8" t="s">
        <v>53</v>
      </c>
      <c r="U8">
        <v>700</v>
      </c>
      <c r="V8">
        <v>23</v>
      </c>
      <c r="W8">
        <v>56</v>
      </c>
      <c r="X8" t="s">
        <v>54</v>
      </c>
      <c r="Y8" t="s">
        <v>54</v>
      </c>
      <c r="Z8" t="s">
        <v>54</v>
      </c>
      <c r="AA8">
        <v>8.4000000000000005E-2</v>
      </c>
      <c r="AB8" s="11">
        <f t="shared" si="0"/>
        <v>2.8000000000000003</v>
      </c>
      <c r="AC8">
        <v>4.5</v>
      </c>
      <c r="AD8">
        <v>6.5</v>
      </c>
      <c r="AE8">
        <v>13</v>
      </c>
      <c r="AF8">
        <f t="shared" si="1"/>
        <v>7.9933365570000001</v>
      </c>
      <c r="AG8">
        <v>5.9808381000000001E-2</v>
      </c>
      <c r="AH8">
        <v>0.12990483799999999</v>
      </c>
      <c r="AJ8">
        <v>9.2918556999999999E-2</v>
      </c>
      <c r="AK8">
        <v>0.25353882500000002</v>
      </c>
      <c r="AL8">
        <v>6.0185732859999996</v>
      </c>
      <c r="AM8">
        <v>1.1677720000000001E-3</v>
      </c>
      <c r="AN8">
        <v>1.1313722930000001</v>
      </c>
      <c r="AO8">
        <v>0.28242774199999998</v>
      </c>
      <c r="AP8">
        <v>9.3185879999999992E-3</v>
      </c>
      <c r="AQ8">
        <v>1.4306275E-2</v>
      </c>
      <c r="AR8">
        <v>1.1313722930000001</v>
      </c>
      <c r="AS8">
        <v>0.28242774199999998</v>
      </c>
      <c r="AT8">
        <v>6.0185732859999996</v>
      </c>
      <c r="AU8">
        <v>0.20518726600000001</v>
      </c>
      <c r="AV8">
        <v>0.35577597</v>
      </c>
      <c r="AW8">
        <v>1.8849207E-2</v>
      </c>
      <c r="AX8">
        <v>7.9933365570000001</v>
      </c>
    </row>
    <row r="9" spans="1:50" hidden="1">
      <c r="A9" t="s">
        <v>50</v>
      </c>
      <c r="B9">
        <v>147647</v>
      </c>
      <c r="C9">
        <v>6300430</v>
      </c>
      <c r="D9">
        <v>486800</v>
      </c>
      <c r="E9" t="s">
        <v>51</v>
      </c>
      <c r="F9" t="s">
        <v>52</v>
      </c>
      <c r="G9" s="5">
        <v>42530</v>
      </c>
      <c r="H9">
        <v>2016</v>
      </c>
      <c r="I9">
        <v>6</v>
      </c>
      <c r="J9">
        <v>9</v>
      </c>
      <c r="K9">
        <v>0.5</v>
      </c>
      <c r="L9">
        <v>2.2000000000000002</v>
      </c>
      <c r="M9">
        <v>20</v>
      </c>
      <c r="N9">
        <v>7.9</v>
      </c>
      <c r="O9">
        <v>87</v>
      </c>
      <c r="P9">
        <v>7.6</v>
      </c>
      <c r="Q9">
        <v>0.54</v>
      </c>
      <c r="R9">
        <v>19</v>
      </c>
      <c r="S9">
        <v>120</v>
      </c>
      <c r="T9">
        <v>12</v>
      </c>
      <c r="U9">
        <v>1000</v>
      </c>
      <c r="V9">
        <v>18</v>
      </c>
      <c r="W9">
        <v>92</v>
      </c>
      <c r="X9" t="s">
        <v>54</v>
      </c>
      <c r="Y9" t="s">
        <v>54</v>
      </c>
      <c r="Z9" t="s">
        <v>54</v>
      </c>
      <c r="AA9">
        <v>0.12</v>
      </c>
      <c r="AB9" s="11">
        <f t="shared" si="0"/>
        <v>4</v>
      </c>
      <c r="AC9">
        <v>5</v>
      </c>
      <c r="AD9">
        <v>9.5</v>
      </c>
      <c r="AE9">
        <v>8.4</v>
      </c>
      <c r="AF9">
        <f t="shared" si="1"/>
        <v>12.744263918000001</v>
      </c>
      <c r="AI9">
        <v>8.7055849000000005E-2</v>
      </c>
      <c r="AJ9">
        <v>7.1251239999999993E-2</v>
      </c>
      <c r="AK9">
        <v>2.2699853970000001</v>
      </c>
      <c r="AL9">
        <v>9.082666197</v>
      </c>
      <c r="AN9">
        <v>0.40823742099999999</v>
      </c>
      <c r="AO9">
        <v>0.36572888999999997</v>
      </c>
      <c r="AP9">
        <v>0.43754409799999999</v>
      </c>
      <c r="AQ9">
        <v>2.1794826E-2</v>
      </c>
      <c r="AR9">
        <v>0.49529327000000001</v>
      </c>
      <c r="AS9">
        <v>0.36572888999999997</v>
      </c>
      <c r="AT9">
        <v>9.082666197</v>
      </c>
      <c r="AU9">
        <v>2.1794826E-2</v>
      </c>
      <c r="AV9">
        <v>2.7787807349999998</v>
      </c>
      <c r="AW9">
        <v>1.2132802999999999E-2</v>
      </c>
      <c r="AX9">
        <v>12.744263918000001</v>
      </c>
    </row>
    <row r="10" spans="1:50" hidden="1">
      <c r="A10" t="s">
        <v>50</v>
      </c>
      <c r="B10">
        <v>147647</v>
      </c>
      <c r="C10">
        <v>6300430</v>
      </c>
      <c r="D10">
        <v>486800</v>
      </c>
      <c r="E10" t="s">
        <v>51</v>
      </c>
      <c r="F10" t="s">
        <v>52</v>
      </c>
      <c r="G10" s="5">
        <v>42564</v>
      </c>
      <c r="H10">
        <v>2016</v>
      </c>
      <c r="I10">
        <v>7</v>
      </c>
      <c r="J10">
        <v>13</v>
      </c>
      <c r="K10">
        <v>0.5</v>
      </c>
      <c r="L10">
        <v>0.85</v>
      </c>
      <c r="M10">
        <v>18.899999999999999</v>
      </c>
      <c r="N10">
        <v>8.6</v>
      </c>
      <c r="O10">
        <v>92.6</v>
      </c>
      <c r="P10">
        <v>7.7</v>
      </c>
      <c r="Q10">
        <v>0.62</v>
      </c>
      <c r="R10">
        <v>20.7</v>
      </c>
      <c r="S10" t="s">
        <v>53</v>
      </c>
      <c r="T10" t="s">
        <v>53</v>
      </c>
      <c r="U10">
        <v>960</v>
      </c>
      <c r="V10">
        <v>24</v>
      </c>
      <c r="W10">
        <v>160</v>
      </c>
      <c r="X10" t="s">
        <v>54</v>
      </c>
      <c r="Y10" t="s">
        <v>54</v>
      </c>
      <c r="Z10" t="s">
        <v>54</v>
      </c>
      <c r="AA10">
        <v>4.4999999999999998E-2</v>
      </c>
      <c r="AB10" s="11">
        <f t="shared" si="0"/>
        <v>1.5</v>
      </c>
      <c r="AC10">
        <v>19</v>
      </c>
      <c r="AD10">
        <v>8.1999999999999993</v>
      </c>
      <c r="AE10">
        <v>43</v>
      </c>
      <c r="AF10">
        <f t="shared" si="1"/>
        <v>18.934178123800002</v>
      </c>
      <c r="AI10">
        <v>7.6588587E-2</v>
      </c>
      <c r="AJ10">
        <v>4.3917370999999997E-2</v>
      </c>
      <c r="AK10">
        <v>6.0189618799999997E-2</v>
      </c>
      <c r="AL10">
        <v>16.089605337999998</v>
      </c>
      <c r="AN10">
        <v>2.5051991689999999</v>
      </c>
      <c r="AO10">
        <v>4.5894379999999999E-2</v>
      </c>
      <c r="AP10">
        <v>2.2009812E-2</v>
      </c>
      <c r="AQ10">
        <v>9.0773848000000004E-2</v>
      </c>
      <c r="AR10">
        <v>2.5817877560000002</v>
      </c>
      <c r="AS10">
        <v>4.5894379999999999E-2</v>
      </c>
      <c r="AT10">
        <v>16.089605337999998</v>
      </c>
      <c r="AU10">
        <v>9.0773848000000004E-2</v>
      </c>
      <c r="AV10">
        <v>0.12614180180000001</v>
      </c>
      <c r="AW10">
        <v>0</v>
      </c>
      <c r="AX10">
        <v>18.934178123800002</v>
      </c>
    </row>
    <row r="11" spans="1:50" hidden="1">
      <c r="A11" t="s">
        <v>50</v>
      </c>
      <c r="B11">
        <v>147647</v>
      </c>
      <c r="C11">
        <v>6300430</v>
      </c>
      <c r="D11">
        <v>486800</v>
      </c>
      <c r="E11" t="s">
        <v>51</v>
      </c>
      <c r="F11" t="s">
        <v>52</v>
      </c>
      <c r="G11" s="5">
        <v>42591</v>
      </c>
      <c r="H11">
        <v>2016</v>
      </c>
      <c r="I11">
        <v>8</v>
      </c>
      <c r="J11">
        <v>9</v>
      </c>
      <c r="K11">
        <v>0.5</v>
      </c>
      <c r="L11">
        <v>0.65</v>
      </c>
      <c r="M11">
        <v>17.2</v>
      </c>
      <c r="N11">
        <v>9.1999999999999993</v>
      </c>
      <c r="O11">
        <v>95.7</v>
      </c>
      <c r="P11">
        <v>7.9</v>
      </c>
      <c r="Q11">
        <v>0.62</v>
      </c>
      <c r="R11">
        <v>19.600000000000001</v>
      </c>
      <c r="S11" t="s">
        <v>53</v>
      </c>
      <c r="T11" t="s">
        <v>53</v>
      </c>
      <c r="U11">
        <v>1200</v>
      </c>
      <c r="V11">
        <v>25</v>
      </c>
      <c r="W11">
        <v>210</v>
      </c>
      <c r="X11" t="s">
        <v>54</v>
      </c>
      <c r="Y11" t="s">
        <v>54</v>
      </c>
      <c r="Z11" t="s">
        <v>54</v>
      </c>
      <c r="AA11">
        <v>0.04</v>
      </c>
      <c r="AB11" s="11">
        <f t="shared" si="0"/>
        <v>1.3333333333333335</v>
      </c>
      <c r="AC11">
        <v>32</v>
      </c>
      <c r="AD11">
        <v>11</v>
      </c>
      <c r="AE11">
        <v>47</v>
      </c>
      <c r="AF11">
        <f t="shared" si="1"/>
        <v>23.735556558999996</v>
      </c>
      <c r="AI11">
        <v>9.7822784999999995E-2</v>
      </c>
      <c r="AJ11">
        <v>0.12230579499999999</v>
      </c>
      <c r="AK11">
        <v>0.107694172</v>
      </c>
      <c r="AL11">
        <v>13.791972579999999</v>
      </c>
      <c r="AN11">
        <v>8.4386921560000001</v>
      </c>
      <c r="AO11">
        <v>6.7604815999999998E-2</v>
      </c>
      <c r="AP11">
        <v>1.0657994719999999</v>
      </c>
      <c r="AQ11">
        <v>4.3664782999999999E-2</v>
      </c>
      <c r="AR11">
        <v>8.5365149410000001</v>
      </c>
      <c r="AS11">
        <v>6.7604815999999998E-2</v>
      </c>
      <c r="AT11">
        <v>13.791972579999999</v>
      </c>
      <c r="AU11">
        <v>4.3664782999999999E-2</v>
      </c>
      <c r="AV11">
        <v>1.2957994390000001</v>
      </c>
      <c r="AW11">
        <v>0</v>
      </c>
      <c r="AX11">
        <v>23.735556558999996</v>
      </c>
    </row>
    <row r="12" spans="1:50" hidden="1">
      <c r="A12" t="s">
        <v>50</v>
      </c>
      <c r="B12">
        <v>147647</v>
      </c>
      <c r="C12">
        <v>6300430</v>
      </c>
      <c r="D12">
        <v>486800</v>
      </c>
      <c r="E12" t="s">
        <v>51</v>
      </c>
      <c r="F12" t="s">
        <v>52</v>
      </c>
      <c r="G12" s="5">
        <v>42621</v>
      </c>
      <c r="H12">
        <v>2016</v>
      </c>
      <c r="I12">
        <v>9</v>
      </c>
      <c r="J12">
        <v>8</v>
      </c>
      <c r="K12">
        <v>0.5</v>
      </c>
      <c r="L12">
        <v>0.85</v>
      </c>
      <c r="M12">
        <v>17.8</v>
      </c>
      <c r="N12">
        <v>9.9</v>
      </c>
      <c r="O12">
        <v>104</v>
      </c>
      <c r="P12">
        <v>8.1999999999999993</v>
      </c>
      <c r="Q12">
        <v>0.66</v>
      </c>
      <c r="R12">
        <v>21.3</v>
      </c>
      <c r="S12" t="s">
        <v>53</v>
      </c>
      <c r="T12" t="s">
        <v>53</v>
      </c>
      <c r="U12">
        <v>1000</v>
      </c>
      <c r="V12">
        <v>22</v>
      </c>
      <c r="W12">
        <v>140</v>
      </c>
      <c r="X12" t="s">
        <v>54</v>
      </c>
      <c r="Y12" t="s">
        <v>54</v>
      </c>
      <c r="Z12" t="s">
        <v>54</v>
      </c>
      <c r="AA12">
        <v>4.1000000000000002E-2</v>
      </c>
      <c r="AB12" s="11">
        <f t="shared" si="0"/>
        <v>1.3666666666666667</v>
      </c>
      <c r="AC12">
        <v>20</v>
      </c>
      <c r="AD12">
        <v>10</v>
      </c>
      <c r="AE12">
        <v>38</v>
      </c>
      <c r="AF12">
        <f t="shared" si="1"/>
        <v>11.762917185000001</v>
      </c>
      <c r="AG12">
        <v>3.4230305000000003E-2</v>
      </c>
      <c r="AH12">
        <v>2.1855531000000001E-2</v>
      </c>
      <c r="AI12">
        <v>0.30699591999999998</v>
      </c>
      <c r="AK12">
        <v>0.70245994599999995</v>
      </c>
      <c r="AL12">
        <v>2.3986275080000001</v>
      </c>
      <c r="AN12">
        <v>6.5823149460000003</v>
      </c>
      <c r="AO12">
        <v>1.0349909829999999</v>
      </c>
      <c r="AP12">
        <v>0.66739122100000003</v>
      </c>
      <c r="AQ12">
        <v>1.4050824999999999E-2</v>
      </c>
      <c r="AR12">
        <v>6.8893108659999998</v>
      </c>
      <c r="AS12">
        <v>1.0349909829999999</v>
      </c>
      <c r="AT12">
        <v>2.3986275080000001</v>
      </c>
      <c r="AU12">
        <v>7.0136661000000003E-2</v>
      </c>
      <c r="AV12">
        <v>1.369851167</v>
      </c>
      <c r="AW12">
        <v>1.2920620000000001E-2</v>
      </c>
      <c r="AX12">
        <v>11.762917185000001</v>
      </c>
    </row>
    <row r="13" spans="1:50" hidden="1">
      <c r="A13" t="s">
        <v>50</v>
      </c>
      <c r="B13">
        <v>147647</v>
      </c>
      <c r="C13">
        <v>6300430</v>
      </c>
      <c r="D13">
        <v>486800</v>
      </c>
      <c r="E13" t="s">
        <v>51</v>
      </c>
      <c r="F13" t="s">
        <v>52</v>
      </c>
      <c r="G13" s="5">
        <v>42654</v>
      </c>
      <c r="H13">
        <v>2016</v>
      </c>
      <c r="I13">
        <v>10</v>
      </c>
      <c r="J13">
        <v>11</v>
      </c>
      <c r="K13">
        <v>0.5</v>
      </c>
      <c r="L13">
        <v>0.75</v>
      </c>
      <c r="M13">
        <v>8.5</v>
      </c>
      <c r="N13">
        <v>10.3</v>
      </c>
      <c r="O13">
        <v>88.1</v>
      </c>
      <c r="P13">
        <v>7.6</v>
      </c>
      <c r="Q13">
        <v>0.66</v>
      </c>
      <c r="R13">
        <v>21.7</v>
      </c>
      <c r="S13">
        <v>260</v>
      </c>
      <c r="T13">
        <v>90</v>
      </c>
      <c r="U13">
        <v>1500</v>
      </c>
      <c r="V13">
        <v>4.5</v>
      </c>
      <c r="W13">
        <v>160</v>
      </c>
      <c r="X13" t="s">
        <v>54</v>
      </c>
      <c r="Y13" t="s">
        <v>54</v>
      </c>
      <c r="Z13" t="s">
        <v>54</v>
      </c>
      <c r="AA13">
        <v>5.8000000000000003E-2</v>
      </c>
      <c r="AB13" s="11">
        <f t="shared" si="0"/>
        <v>1.9333333333333336</v>
      </c>
      <c r="AC13">
        <v>20</v>
      </c>
      <c r="AD13">
        <v>10</v>
      </c>
      <c r="AE13">
        <v>40</v>
      </c>
      <c r="AF13">
        <f t="shared" si="1"/>
        <v>11.424571427</v>
      </c>
      <c r="AJ13">
        <v>4.3469438999999999E-2</v>
      </c>
      <c r="AK13">
        <v>0.33511143799999998</v>
      </c>
      <c r="AL13">
        <v>1.8346151310000001</v>
      </c>
      <c r="AN13">
        <v>8.4056698779999994</v>
      </c>
      <c r="AO13">
        <v>0.65992862100000005</v>
      </c>
      <c r="AP13">
        <v>0.14299487599999999</v>
      </c>
      <c r="AQ13">
        <v>2.782044E-3</v>
      </c>
      <c r="AR13">
        <v>8.4056698779999994</v>
      </c>
      <c r="AS13">
        <v>0.65992862100000005</v>
      </c>
      <c r="AT13">
        <v>1.8346151310000001</v>
      </c>
      <c r="AU13">
        <v>2.782044E-3</v>
      </c>
      <c r="AV13">
        <v>0.52157575300000003</v>
      </c>
      <c r="AW13">
        <v>8.0756560000000005E-3</v>
      </c>
      <c r="AX13">
        <v>11.424571427</v>
      </c>
    </row>
    <row r="14" spans="1:50" hidden="1">
      <c r="A14" t="s">
        <v>50</v>
      </c>
      <c r="B14">
        <v>147647</v>
      </c>
      <c r="C14">
        <v>6300430</v>
      </c>
      <c r="D14">
        <v>486800</v>
      </c>
      <c r="E14" t="s">
        <v>51</v>
      </c>
      <c r="F14" t="s">
        <v>52</v>
      </c>
      <c r="G14" s="5">
        <v>42870</v>
      </c>
      <c r="H14">
        <v>2017</v>
      </c>
      <c r="I14">
        <v>5</v>
      </c>
      <c r="J14">
        <v>15</v>
      </c>
      <c r="K14">
        <v>0.5</v>
      </c>
      <c r="L14">
        <v>1.6</v>
      </c>
      <c r="M14">
        <v>13.8</v>
      </c>
      <c r="N14">
        <v>14.4</v>
      </c>
      <c r="O14">
        <v>139</v>
      </c>
      <c r="P14">
        <v>8.9</v>
      </c>
      <c r="Q14">
        <v>0.54</v>
      </c>
      <c r="R14">
        <v>20.5</v>
      </c>
      <c r="S14">
        <v>51</v>
      </c>
      <c r="T14" t="s">
        <v>53</v>
      </c>
      <c r="U14">
        <v>710</v>
      </c>
      <c r="V14">
        <v>3.8</v>
      </c>
      <c r="W14">
        <v>71</v>
      </c>
      <c r="X14" t="s">
        <v>54</v>
      </c>
      <c r="Y14" t="s">
        <v>54</v>
      </c>
      <c r="Z14" t="s">
        <v>54</v>
      </c>
      <c r="AA14">
        <v>4.1000000000000002E-2</v>
      </c>
      <c r="AB14" s="11">
        <f t="shared" si="0"/>
        <v>1.3666666666666667</v>
      </c>
      <c r="AC14">
        <v>12</v>
      </c>
      <c r="AD14">
        <v>9.1999999999999993</v>
      </c>
      <c r="AE14">
        <v>39</v>
      </c>
      <c r="AF14">
        <f t="shared" si="1"/>
        <v>25.111696895000005</v>
      </c>
      <c r="AG14">
        <v>5.4401390000000001E-3</v>
      </c>
      <c r="AJ14">
        <v>0.100153587</v>
      </c>
      <c r="AK14">
        <v>0.83666100099999996</v>
      </c>
      <c r="AL14">
        <v>23.327526031000001</v>
      </c>
      <c r="AN14">
        <v>0.45003763000000002</v>
      </c>
      <c r="AO14">
        <v>0.35987257099999997</v>
      </c>
      <c r="AP14">
        <v>3.2005935999999999E-2</v>
      </c>
      <c r="AR14">
        <v>0.45003763000000002</v>
      </c>
      <c r="AS14">
        <v>0.35987257099999997</v>
      </c>
      <c r="AT14">
        <v>23.327526031000001</v>
      </c>
      <c r="AU14">
        <v>5.4401390000000001E-3</v>
      </c>
      <c r="AV14">
        <v>0.96882052399999996</v>
      </c>
      <c r="AW14">
        <v>0</v>
      </c>
      <c r="AX14">
        <v>25.111696895000005</v>
      </c>
    </row>
    <row r="15" spans="1:50" hidden="1">
      <c r="A15" t="s">
        <v>50</v>
      </c>
      <c r="B15">
        <v>147647</v>
      </c>
      <c r="C15">
        <v>6300430</v>
      </c>
      <c r="D15">
        <v>486800</v>
      </c>
      <c r="E15" t="s">
        <v>51</v>
      </c>
      <c r="F15" t="s">
        <v>52</v>
      </c>
      <c r="G15" s="5">
        <v>42895</v>
      </c>
      <c r="H15">
        <v>2017</v>
      </c>
      <c r="I15">
        <v>6</v>
      </c>
      <c r="J15">
        <v>9</v>
      </c>
      <c r="K15">
        <v>0.5</v>
      </c>
      <c r="L15">
        <v>1.3</v>
      </c>
      <c r="M15">
        <v>16.399999999999999</v>
      </c>
      <c r="N15">
        <v>10.3</v>
      </c>
      <c r="O15">
        <v>105</v>
      </c>
      <c r="P15">
        <v>8.1</v>
      </c>
      <c r="Q15">
        <v>0.62</v>
      </c>
      <c r="R15">
        <v>21.5</v>
      </c>
      <c r="S15">
        <v>47</v>
      </c>
      <c r="T15" t="s">
        <v>53</v>
      </c>
      <c r="U15">
        <v>1400</v>
      </c>
      <c r="V15">
        <v>4.5999999999999996</v>
      </c>
      <c r="W15">
        <v>57</v>
      </c>
      <c r="X15" t="s">
        <v>54</v>
      </c>
      <c r="Y15" t="s">
        <v>54</v>
      </c>
      <c r="Z15" t="s">
        <v>54</v>
      </c>
      <c r="AA15">
        <v>5.2999999999999999E-2</v>
      </c>
      <c r="AB15" s="11">
        <f t="shared" si="0"/>
        <v>1.7666666666666666</v>
      </c>
      <c r="AC15">
        <v>18</v>
      </c>
      <c r="AD15">
        <v>10</v>
      </c>
      <c r="AE15">
        <v>45</v>
      </c>
      <c r="AF15">
        <f t="shared" si="1"/>
        <v>9.6223138450000008</v>
      </c>
      <c r="AH15">
        <v>6.1052759999999998E-2</v>
      </c>
      <c r="AJ15">
        <v>1.2233206E-2</v>
      </c>
      <c r="AK15">
        <v>0.47843820300000001</v>
      </c>
      <c r="AL15">
        <v>6.0128850070000004</v>
      </c>
      <c r="AN15">
        <v>2.6647375100000001</v>
      </c>
      <c r="AO15">
        <v>0.132881678</v>
      </c>
      <c r="AP15">
        <v>0.192169955</v>
      </c>
      <c r="AQ15">
        <v>6.7915526000000004E-2</v>
      </c>
      <c r="AR15">
        <v>2.6647375100000001</v>
      </c>
      <c r="AS15">
        <v>0.132881678</v>
      </c>
      <c r="AT15">
        <v>6.0128850070000004</v>
      </c>
      <c r="AU15">
        <v>0.12896828599999999</v>
      </c>
      <c r="AV15">
        <v>0.68284136399999995</v>
      </c>
      <c r="AW15">
        <v>1.5162939E-2</v>
      </c>
      <c r="AX15">
        <v>9.6223138450000008</v>
      </c>
    </row>
    <row r="16" spans="1:50" hidden="1">
      <c r="A16" t="s">
        <v>50</v>
      </c>
      <c r="B16">
        <v>147647</v>
      </c>
      <c r="C16">
        <v>6300430</v>
      </c>
      <c r="D16">
        <v>486800</v>
      </c>
      <c r="E16" t="s">
        <v>51</v>
      </c>
      <c r="F16" t="s">
        <v>52</v>
      </c>
      <c r="G16" s="5">
        <v>42926</v>
      </c>
      <c r="H16">
        <v>2017</v>
      </c>
      <c r="I16">
        <v>7</v>
      </c>
      <c r="J16">
        <v>10</v>
      </c>
      <c r="K16">
        <v>0.5</v>
      </c>
      <c r="L16">
        <v>1.1000000000000001</v>
      </c>
      <c r="M16">
        <v>20</v>
      </c>
      <c r="N16">
        <v>13</v>
      </c>
      <c r="O16">
        <v>143</v>
      </c>
      <c r="P16">
        <v>8.8000000000000007</v>
      </c>
      <c r="Q16">
        <v>0.66</v>
      </c>
      <c r="R16">
        <v>20.5</v>
      </c>
      <c r="S16">
        <v>12</v>
      </c>
      <c r="T16" t="s">
        <v>53</v>
      </c>
      <c r="U16">
        <v>1300</v>
      </c>
      <c r="V16">
        <v>34</v>
      </c>
      <c r="W16">
        <v>70</v>
      </c>
      <c r="X16" t="s">
        <v>54</v>
      </c>
      <c r="Y16" t="s">
        <v>54</v>
      </c>
      <c r="Z16" t="s">
        <v>54</v>
      </c>
      <c r="AA16">
        <v>5.5E-2</v>
      </c>
      <c r="AB16" s="11">
        <f t="shared" si="0"/>
        <v>1.8333333333333335</v>
      </c>
      <c r="AC16">
        <v>18</v>
      </c>
      <c r="AD16">
        <v>9.9</v>
      </c>
      <c r="AE16">
        <v>54</v>
      </c>
      <c r="AF16">
        <f t="shared" si="1"/>
        <v>8.9917699330999987</v>
      </c>
      <c r="AH16">
        <v>0.27531970099999997</v>
      </c>
      <c r="AI16">
        <v>0.35794967100000002</v>
      </c>
      <c r="AK16">
        <v>0.338384346</v>
      </c>
      <c r="AL16">
        <v>5.3285066730999997</v>
      </c>
      <c r="AN16">
        <v>2.2035724390000002</v>
      </c>
      <c r="AO16">
        <v>0.334040952</v>
      </c>
      <c r="AP16">
        <v>0.11380075100000001</v>
      </c>
      <c r="AQ16">
        <v>4.0195399999999999E-2</v>
      </c>
      <c r="AR16">
        <v>2.5615221099999999</v>
      </c>
      <c r="AS16">
        <v>0.334040952</v>
      </c>
      <c r="AT16">
        <v>5.3285066730999997</v>
      </c>
      <c r="AU16">
        <v>0.31551510100000002</v>
      </c>
      <c r="AV16">
        <v>0.45218509699999998</v>
      </c>
      <c r="AW16">
        <v>0</v>
      </c>
      <c r="AX16">
        <v>8.9917699330999987</v>
      </c>
    </row>
    <row r="17" spans="1:50" hidden="1">
      <c r="A17" t="s">
        <v>50</v>
      </c>
      <c r="B17">
        <v>147647</v>
      </c>
      <c r="C17">
        <v>6300430</v>
      </c>
      <c r="D17">
        <v>486800</v>
      </c>
      <c r="E17" t="s">
        <v>51</v>
      </c>
      <c r="F17" t="s">
        <v>52</v>
      </c>
      <c r="G17" s="5">
        <v>42961</v>
      </c>
      <c r="H17">
        <v>2017</v>
      </c>
      <c r="I17">
        <v>8</v>
      </c>
      <c r="J17">
        <v>14</v>
      </c>
      <c r="K17">
        <v>0.5</v>
      </c>
      <c r="L17">
        <v>0.8</v>
      </c>
      <c r="M17">
        <v>18.7</v>
      </c>
      <c r="N17">
        <v>10</v>
      </c>
      <c r="O17">
        <v>107</v>
      </c>
      <c r="P17">
        <v>8.5</v>
      </c>
      <c r="Q17">
        <v>0.61</v>
      </c>
      <c r="R17">
        <v>20.7</v>
      </c>
      <c r="S17" t="s">
        <v>53</v>
      </c>
      <c r="T17" t="s">
        <v>53</v>
      </c>
      <c r="U17">
        <v>1000</v>
      </c>
      <c r="V17">
        <v>22</v>
      </c>
      <c r="W17">
        <v>140</v>
      </c>
      <c r="X17" t="s">
        <v>54</v>
      </c>
      <c r="Y17" t="s">
        <v>54</v>
      </c>
      <c r="Z17" t="s">
        <v>54</v>
      </c>
      <c r="AA17">
        <v>4.2999999999999997E-2</v>
      </c>
      <c r="AB17" s="11">
        <f t="shared" si="0"/>
        <v>1.4333333333333333</v>
      </c>
      <c r="AC17">
        <v>23</v>
      </c>
      <c r="AD17">
        <v>7.7</v>
      </c>
      <c r="AE17">
        <v>69</v>
      </c>
      <c r="AF17">
        <f t="shared" si="1"/>
        <v>11.988863168</v>
      </c>
      <c r="AH17">
        <v>8.9659206000000005E-2</v>
      </c>
      <c r="AI17">
        <v>0.29624171500000002</v>
      </c>
      <c r="AJ17">
        <v>3.9573854999999998E-2</v>
      </c>
      <c r="AK17">
        <v>0.35483800999999998</v>
      </c>
      <c r="AL17">
        <v>4.9268946500000004</v>
      </c>
      <c r="AN17">
        <v>5.3508541210000002</v>
      </c>
      <c r="AO17">
        <v>0.13278590500000001</v>
      </c>
      <c r="AP17">
        <v>0.56847768799999998</v>
      </c>
      <c r="AQ17">
        <v>0.22953801800000001</v>
      </c>
      <c r="AR17">
        <v>5.6470958360000001</v>
      </c>
      <c r="AS17">
        <v>0.13278590500000001</v>
      </c>
      <c r="AT17">
        <v>4.9268946500000004</v>
      </c>
      <c r="AU17">
        <v>0.319197224</v>
      </c>
      <c r="AV17">
        <v>0.96288955300000001</v>
      </c>
      <c r="AW17">
        <v>1.3267572E-2</v>
      </c>
      <c r="AX17">
        <v>11.988863168</v>
      </c>
    </row>
    <row r="18" spans="1:50" hidden="1">
      <c r="A18" t="s">
        <v>50</v>
      </c>
      <c r="B18">
        <v>147647</v>
      </c>
      <c r="C18">
        <v>6300430</v>
      </c>
      <c r="D18">
        <v>486800</v>
      </c>
      <c r="E18" t="s">
        <v>51</v>
      </c>
      <c r="F18" t="s">
        <v>52</v>
      </c>
      <c r="G18" s="5">
        <v>42992</v>
      </c>
      <c r="H18">
        <v>2017</v>
      </c>
      <c r="I18">
        <v>9</v>
      </c>
      <c r="J18">
        <v>14</v>
      </c>
      <c r="K18">
        <v>0.5</v>
      </c>
      <c r="L18">
        <v>0.9</v>
      </c>
      <c r="M18">
        <v>14.5</v>
      </c>
      <c r="N18">
        <v>9</v>
      </c>
      <c r="O18">
        <v>88.4</v>
      </c>
      <c r="P18">
        <v>7.8</v>
      </c>
      <c r="Q18">
        <v>0.59</v>
      </c>
      <c r="R18">
        <v>20</v>
      </c>
      <c r="S18" t="s">
        <v>53</v>
      </c>
      <c r="T18" t="s">
        <v>53</v>
      </c>
      <c r="U18">
        <v>860</v>
      </c>
      <c r="V18">
        <v>17</v>
      </c>
      <c r="W18">
        <v>140</v>
      </c>
      <c r="X18" t="s">
        <v>54</v>
      </c>
      <c r="Y18" t="s">
        <v>54</v>
      </c>
      <c r="Z18" t="s">
        <v>54</v>
      </c>
      <c r="AA18">
        <v>4.2000000000000003E-2</v>
      </c>
      <c r="AB18" s="11">
        <f t="shared" si="0"/>
        <v>1.4000000000000001</v>
      </c>
      <c r="AC18">
        <v>17</v>
      </c>
      <c r="AD18">
        <v>7.7</v>
      </c>
      <c r="AE18">
        <v>40</v>
      </c>
      <c r="AF18">
        <f t="shared" si="1"/>
        <v>9.6044185609999992</v>
      </c>
      <c r="AH18">
        <v>0.183960287</v>
      </c>
      <c r="AI18">
        <v>0.22284955200000001</v>
      </c>
      <c r="AJ18">
        <v>5.6635212999999997E-2</v>
      </c>
      <c r="AK18">
        <v>0.19626839800000001</v>
      </c>
      <c r="AL18">
        <v>3.6252305470000001</v>
      </c>
      <c r="AN18">
        <v>4.7654759809999998</v>
      </c>
      <c r="AO18">
        <v>0.24229716000000001</v>
      </c>
      <c r="AP18">
        <v>0.174686217</v>
      </c>
      <c r="AQ18">
        <v>0.137015206</v>
      </c>
      <c r="AR18">
        <v>4.9883255330000003</v>
      </c>
      <c r="AS18">
        <v>0.24229716000000001</v>
      </c>
      <c r="AT18">
        <v>3.6252305470000001</v>
      </c>
      <c r="AU18">
        <v>0.320975493</v>
      </c>
      <c r="AV18">
        <v>0.42758982800000001</v>
      </c>
      <c r="AW18">
        <v>1.7148561999999999E-2</v>
      </c>
      <c r="AX18">
        <v>9.6044185609999992</v>
      </c>
    </row>
    <row r="19" spans="1:50" hidden="1">
      <c r="A19" t="s">
        <v>50</v>
      </c>
      <c r="B19">
        <v>147647</v>
      </c>
      <c r="C19">
        <v>6300430</v>
      </c>
      <c r="D19">
        <v>486800</v>
      </c>
      <c r="E19" t="s">
        <v>51</v>
      </c>
      <c r="F19" t="s">
        <v>52</v>
      </c>
      <c r="G19" s="5">
        <v>43017</v>
      </c>
      <c r="H19">
        <v>2017</v>
      </c>
      <c r="I19">
        <v>10</v>
      </c>
      <c r="J19">
        <v>9</v>
      </c>
      <c r="K19">
        <v>0.5</v>
      </c>
      <c r="L19">
        <v>1.1000000000000001</v>
      </c>
      <c r="M19">
        <v>9.6</v>
      </c>
      <c r="N19">
        <v>10</v>
      </c>
      <c r="O19">
        <v>87.8</v>
      </c>
      <c r="P19">
        <v>7.6</v>
      </c>
      <c r="Q19">
        <v>0.54</v>
      </c>
      <c r="R19">
        <v>19.600000000000001</v>
      </c>
      <c r="S19" t="s">
        <v>53</v>
      </c>
      <c r="T19" t="s">
        <v>53</v>
      </c>
      <c r="U19">
        <v>650</v>
      </c>
      <c r="V19">
        <v>25</v>
      </c>
      <c r="W19">
        <v>120</v>
      </c>
      <c r="X19" t="s">
        <v>54</v>
      </c>
      <c r="Y19" t="s">
        <v>54</v>
      </c>
      <c r="Z19" t="s">
        <v>54</v>
      </c>
      <c r="AA19">
        <v>3.6999999999999998E-2</v>
      </c>
      <c r="AB19" s="11">
        <f t="shared" si="0"/>
        <v>1.2333333333333334</v>
      </c>
      <c r="AC19">
        <v>12</v>
      </c>
      <c r="AD19">
        <v>7.6</v>
      </c>
      <c r="AE19">
        <v>24</v>
      </c>
      <c r="AF19">
        <f t="shared" si="1"/>
        <v>6.9597540809999989</v>
      </c>
      <c r="AH19">
        <v>9.1749046000000001E-2</v>
      </c>
      <c r="AI19">
        <v>1.6680299999999999E-2</v>
      </c>
      <c r="AJ19">
        <v>2.3744313E-2</v>
      </c>
      <c r="AK19">
        <v>0.14151538799999999</v>
      </c>
      <c r="AL19">
        <v>1.100628589</v>
      </c>
      <c r="AN19">
        <v>5.251483093</v>
      </c>
      <c r="AO19">
        <v>0.29960055800000002</v>
      </c>
      <c r="AP19">
        <v>1.474206E-2</v>
      </c>
      <c r="AQ19">
        <v>1.9610734000000001E-2</v>
      </c>
      <c r="AR19">
        <v>5.268163393</v>
      </c>
      <c r="AS19">
        <v>0.29960055800000002</v>
      </c>
      <c r="AT19">
        <v>1.100628589</v>
      </c>
      <c r="AU19">
        <v>0.11135978000000001</v>
      </c>
      <c r="AV19">
        <v>0.18000176100000001</v>
      </c>
      <c r="AW19">
        <v>1.9856229999999999E-2</v>
      </c>
      <c r="AX19">
        <v>6.9597540809999989</v>
      </c>
    </row>
    <row r="20" spans="1:50" hidden="1">
      <c r="A20" t="s">
        <v>50</v>
      </c>
      <c r="B20">
        <v>147647</v>
      </c>
      <c r="C20">
        <v>6300430</v>
      </c>
      <c r="D20">
        <v>486800</v>
      </c>
      <c r="E20" t="s">
        <v>51</v>
      </c>
      <c r="F20" t="s">
        <v>52</v>
      </c>
      <c r="G20" s="5">
        <v>43228</v>
      </c>
      <c r="H20">
        <v>2018</v>
      </c>
      <c r="I20">
        <v>5</v>
      </c>
      <c r="J20">
        <v>8</v>
      </c>
      <c r="K20">
        <v>0.5</v>
      </c>
      <c r="L20">
        <v>2.5</v>
      </c>
      <c r="M20">
        <v>17.399999999999999</v>
      </c>
      <c r="N20">
        <v>10.1</v>
      </c>
      <c r="O20">
        <v>106</v>
      </c>
      <c r="P20">
        <v>7.7</v>
      </c>
      <c r="Q20">
        <v>0.43</v>
      </c>
      <c r="R20">
        <v>18.8</v>
      </c>
      <c r="S20" t="s">
        <v>53</v>
      </c>
      <c r="T20" t="s">
        <v>53</v>
      </c>
      <c r="U20">
        <v>520</v>
      </c>
      <c r="V20">
        <v>21</v>
      </c>
      <c r="W20">
        <v>62</v>
      </c>
      <c r="X20" t="s">
        <v>54</v>
      </c>
      <c r="Y20" t="s">
        <v>54</v>
      </c>
      <c r="Z20" t="s">
        <v>54</v>
      </c>
      <c r="AA20">
        <v>8.6999999999999994E-2</v>
      </c>
      <c r="AB20" s="11">
        <f t="shared" si="0"/>
        <v>2.9</v>
      </c>
      <c r="AC20">
        <v>2.2000000000000002</v>
      </c>
      <c r="AD20">
        <v>8.1999999999999993</v>
      </c>
      <c r="AE20">
        <v>4.4000000000000004</v>
      </c>
      <c r="AF20">
        <f t="shared" si="1"/>
        <v>1.1129287164999999</v>
      </c>
      <c r="AG20">
        <v>3.0472400000000001E-3</v>
      </c>
      <c r="AI20">
        <v>2.1531656999999999E-2</v>
      </c>
      <c r="AK20">
        <v>0.30728240420000003</v>
      </c>
      <c r="AL20">
        <v>8.8661768299999999E-2</v>
      </c>
      <c r="AM20">
        <v>6.4149790000000003E-3</v>
      </c>
      <c r="AN20">
        <v>0.25483884499999998</v>
      </c>
      <c r="AO20">
        <v>0.414492684</v>
      </c>
      <c r="AP20">
        <v>4.8418280000000003E-3</v>
      </c>
      <c r="AQ20">
        <v>1.1817311E-2</v>
      </c>
      <c r="AR20">
        <v>0.27637050200000002</v>
      </c>
      <c r="AS20">
        <v>0.414492684</v>
      </c>
      <c r="AT20">
        <v>8.8661768299999999E-2</v>
      </c>
      <c r="AU20">
        <v>2.1279530000000001E-2</v>
      </c>
      <c r="AV20">
        <v>0.31212423220000002</v>
      </c>
      <c r="AW20">
        <v>1.1286075E-2</v>
      </c>
      <c r="AX20">
        <v>1.1129287164999999</v>
      </c>
    </row>
    <row r="21" spans="1:50" hidden="1">
      <c r="A21" t="s">
        <v>50</v>
      </c>
      <c r="B21">
        <v>147647</v>
      </c>
      <c r="C21">
        <v>6300430</v>
      </c>
      <c r="D21">
        <v>486800</v>
      </c>
      <c r="E21" t="s">
        <v>51</v>
      </c>
      <c r="F21" t="s">
        <v>52</v>
      </c>
      <c r="G21" s="5">
        <v>43259</v>
      </c>
      <c r="H21">
        <v>2018</v>
      </c>
      <c r="I21">
        <v>6</v>
      </c>
      <c r="J21">
        <v>8</v>
      </c>
      <c r="K21">
        <v>0.5</v>
      </c>
      <c r="L21">
        <v>1.5</v>
      </c>
      <c r="M21">
        <v>21.6</v>
      </c>
      <c r="N21">
        <v>9.6</v>
      </c>
      <c r="O21">
        <v>109</v>
      </c>
      <c r="P21">
        <v>7.8</v>
      </c>
      <c r="Q21">
        <v>0.59</v>
      </c>
      <c r="R21">
        <v>20.9</v>
      </c>
      <c r="S21" t="s">
        <v>53</v>
      </c>
      <c r="T21" t="s">
        <v>53</v>
      </c>
      <c r="U21">
        <v>680</v>
      </c>
      <c r="V21">
        <v>5.4</v>
      </c>
      <c r="W21">
        <v>65</v>
      </c>
      <c r="X21" t="s">
        <v>54</v>
      </c>
      <c r="Y21" t="s">
        <v>54</v>
      </c>
      <c r="Z21" t="s">
        <v>54</v>
      </c>
      <c r="AA21">
        <v>7.1999999999999995E-2</v>
      </c>
      <c r="AB21" s="11">
        <f t="shared" si="0"/>
        <v>2.4</v>
      </c>
      <c r="AC21">
        <v>5.5</v>
      </c>
      <c r="AD21">
        <v>9.6</v>
      </c>
      <c r="AE21">
        <v>19</v>
      </c>
      <c r="AF21">
        <f t="shared" si="1"/>
        <v>3.5804982213000001</v>
      </c>
      <c r="AG21">
        <v>3.5501784000000002E-2</v>
      </c>
      <c r="AH21">
        <v>1.3839443999999999E-2</v>
      </c>
      <c r="AJ21">
        <v>0.16878621199999999</v>
      </c>
      <c r="AK21">
        <v>0.81381007930000004</v>
      </c>
      <c r="AL21">
        <v>0.26840656099999999</v>
      </c>
      <c r="AM21">
        <v>2.1773803000000001E-2</v>
      </c>
      <c r="AN21">
        <v>1.8794388019999999</v>
      </c>
      <c r="AO21">
        <v>0.34932245299999998</v>
      </c>
      <c r="AP21">
        <v>2.1364336000000001E-2</v>
      </c>
      <c r="AQ21">
        <v>8.2547469999999998E-3</v>
      </c>
      <c r="AR21">
        <v>1.8794388019999999</v>
      </c>
      <c r="AS21">
        <v>0.34932245299999998</v>
      </c>
      <c r="AT21">
        <v>0.26840656099999999</v>
      </c>
      <c r="AU21">
        <v>7.9369778000000002E-2</v>
      </c>
      <c r="AV21">
        <v>1.0128785493000001</v>
      </c>
      <c r="AW21">
        <v>1.1340111E-2</v>
      </c>
      <c r="AX21">
        <v>3.5804982213000001</v>
      </c>
    </row>
    <row r="22" spans="1:50" hidden="1">
      <c r="A22" t="s">
        <v>50</v>
      </c>
      <c r="B22">
        <v>147647</v>
      </c>
      <c r="C22">
        <v>6300430</v>
      </c>
      <c r="D22">
        <v>486800</v>
      </c>
      <c r="E22" t="s">
        <v>51</v>
      </c>
      <c r="F22" t="s">
        <v>52</v>
      </c>
      <c r="G22" s="5">
        <v>43291</v>
      </c>
      <c r="H22">
        <v>2018</v>
      </c>
      <c r="I22">
        <v>7</v>
      </c>
      <c r="J22">
        <v>10</v>
      </c>
      <c r="K22">
        <v>0.5</v>
      </c>
      <c r="L22">
        <v>0.95</v>
      </c>
      <c r="M22">
        <v>22.7</v>
      </c>
      <c r="N22">
        <v>11.2</v>
      </c>
      <c r="O22">
        <v>130</v>
      </c>
      <c r="P22">
        <v>9.1999999999999993</v>
      </c>
      <c r="Q22">
        <v>0.59</v>
      </c>
      <c r="R22">
        <v>19.899999999999999</v>
      </c>
      <c r="S22">
        <v>40</v>
      </c>
      <c r="T22" t="s">
        <v>53</v>
      </c>
      <c r="U22">
        <v>1100</v>
      </c>
      <c r="V22">
        <v>18</v>
      </c>
      <c r="W22">
        <v>120</v>
      </c>
      <c r="X22" t="s">
        <v>54</v>
      </c>
      <c r="Y22" t="s">
        <v>54</v>
      </c>
      <c r="Z22" t="s">
        <v>54</v>
      </c>
      <c r="AA22">
        <v>5.1999999999999998E-2</v>
      </c>
      <c r="AB22" s="11">
        <f t="shared" si="0"/>
        <v>1.7333333333333334</v>
      </c>
      <c r="AC22">
        <v>7.9</v>
      </c>
      <c r="AD22">
        <v>9.1999999999999993</v>
      </c>
      <c r="AE22">
        <v>70</v>
      </c>
      <c r="AF22">
        <f t="shared" si="1"/>
        <v>15.865614189999999</v>
      </c>
      <c r="AH22">
        <v>2.5920169999999998E-3</v>
      </c>
      <c r="AI22">
        <v>0.69200732499999995</v>
      </c>
      <c r="AJ22">
        <v>0.161849206</v>
      </c>
      <c r="AK22">
        <v>1.713690843</v>
      </c>
      <c r="AL22">
        <v>11.494759574</v>
      </c>
      <c r="AM22">
        <v>2.2781400000000001E-3</v>
      </c>
      <c r="AN22">
        <v>0.83889248000000005</v>
      </c>
      <c r="AO22">
        <v>0.75061389599999995</v>
      </c>
      <c r="AP22">
        <v>0.17337635600000001</v>
      </c>
      <c r="AQ22">
        <v>3.5554352999999997E-2</v>
      </c>
      <c r="AR22">
        <v>1.530899805</v>
      </c>
      <c r="AS22">
        <v>0.75061389599999995</v>
      </c>
      <c r="AT22">
        <v>11.494759574</v>
      </c>
      <c r="AU22">
        <v>4.0424509999999997E-2</v>
      </c>
      <c r="AV22">
        <v>2.049459572</v>
      </c>
      <c r="AW22">
        <v>2.2705463999999998E-2</v>
      </c>
      <c r="AX22">
        <v>15.865614189999999</v>
      </c>
    </row>
    <row r="23" spans="1:50" hidden="1">
      <c r="A23" t="s">
        <v>50</v>
      </c>
      <c r="B23">
        <v>147647</v>
      </c>
      <c r="C23">
        <v>6300430</v>
      </c>
      <c r="D23">
        <v>486800</v>
      </c>
      <c r="E23" t="s">
        <v>51</v>
      </c>
      <c r="F23" t="s">
        <v>52</v>
      </c>
      <c r="G23" s="5">
        <v>43327</v>
      </c>
      <c r="H23">
        <v>2018</v>
      </c>
      <c r="I23">
        <v>8</v>
      </c>
      <c r="J23">
        <v>15</v>
      </c>
      <c r="K23">
        <v>0.5</v>
      </c>
      <c r="L23">
        <v>0.7</v>
      </c>
      <c r="M23">
        <v>19.7</v>
      </c>
      <c r="N23">
        <v>8.4</v>
      </c>
      <c r="O23">
        <v>91.9</v>
      </c>
      <c r="P23">
        <v>7.8</v>
      </c>
      <c r="Q23">
        <v>0.64</v>
      </c>
      <c r="R23">
        <v>20.3</v>
      </c>
      <c r="S23" t="s">
        <v>53</v>
      </c>
      <c r="T23">
        <v>39</v>
      </c>
      <c r="U23">
        <v>1300</v>
      </c>
      <c r="V23">
        <v>95</v>
      </c>
      <c r="W23">
        <v>220</v>
      </c>
      <c r="X23" t="s">
        <v>54</v>
      </c>
      <c r="Y23" t="s">
        <v>54</v>
      </c>
      <c r="Z23" t="s">
        <v>54</v>
      </c>
      <c r="AA23">
        <v>9.5000000000000001E-2</v>
      </c>
      <c r="AB23" s="11">
        <f t="shared" si="0"/>
        <v>3.166666666666667</v>
      </c>
      <c r="AC23">
        <v>33</v>
      </c>
      <c r="AD23">
        <v>10</v>
      </c>
      <c r="AE23">
        <v>80</v>
      </c>
      <c r="AF23">
        <f t="shared" si="1"/>
        <v>15.3818960521</v>
      </c>
      <c r="AI23">
        <v>6.2472976E-2</v>
      </c>
      <c r="AJ23">
        <v>0.28925310199999998</v>
      </c>
      <c r="AK23">
        <v>0.40183335110000001</v>
      </c>
      <c r="AL23">
        <v>10.647270017</v>
      </c>
      <c r="AN23">
        <v>3.1008571479999998</v>
      </c>
      <c r="AO23">
        <v>0.792700619</v>
      </c>
      <c r="AP23">
        <v>4.4824085E-2</v>
      </c>
      <c r="AQ23">
        <v>4.2684753999999998E-2</v>
      </c>
      <c r="AR23">
        <v>3.1633301239999998</v>
      </c>
      <c r="AS23">
        <v>0.792700619</v>
      </c>
      <c r="AT23">
        <v>10.647270017</v>
      </c>
      <c r="AU23">
        <v>4.2684753999999998E-2</v>
      </c>
      <c r="AV23">
        <v>0.75105486310000003</v>
      </c>
      <c r="AW23">
        <v>0.11780263099999999</v>
      </c>
      <c r="AX23">
        <v>15.3818960521</v>
      </c>
    </row>
    <row r="24" spans="1:50" hidden="1">
      <c r="A24" t="s">
        <v>50</v>
      </c>
      <c r="B24">
        <v>147647</v>
      </c>
      <c r="C24">
        <v>6300430</v>
      </c>
      <c r="D24">
        <v>486800</v>
      </c>
      <c r="E24" t="s">
        <v>51</v>
      </c>
      <c r="F24" t="s">
        <v>52</v>
      </c>
      <c r="G24" s="5">
        <v>43357</v>
      </c>
      <c r="H24">
        <v>2018</v>
      </c>
      <c r="I24">
        <v>9</v>
      </c>
      <c r="J24">
        <v>14</v>
      </c>
      <c r="K24">
        <v>0.5</v>
      </c>
      <c r="L24">
        <v>0.7</v>
      </c>
      <c r="M24">
        <v>15.2</v>
      </c>
      <c r="N24">
        <v>9.1</v>
      </c>
      <c r="O24">
        <v>90.7</v>
      </c>
      <c r="P24">
        <v>7.8</v>
      </c>
      <c r="Q24">
        <v>0.62</v>
      </c>
      <c r="R24">
        <v>19.8</v>
      </c>
      <c r="S24" t="s">
        <v>53</v>
      </c>
      <c r="T24" t="s">
        <v>53</v>
      </c>
      <c r="U24">
        <v>1000</v>
      </c>
      <c r="V24">
        <v>56</v>
      </c>
      <c r="W24">
        <v>200</v>
      </c>
      <c r="X24" t="s">
        <v>54</v>
      </c>
      <c r="Y24" t="s">
        <v>54</v>
      </c>
      <c r="Z24" t="s">
        <v>54</v>
      </c>
      <c r="AA24">
        <v>3.6999999999999998E-2</v>
      </c>
      <c r="AB24" s="11">
        <f t="shared" si="0"/>
        <v>1.2333333333333334</v>
      </c>
      <c r="AC24">
        <v>22</v>
      </c>
      <c r="AD24">
        <v>10</v>
      </c>
      <c r="AE24">
        <v>45</v>
      </c>
      <c r="AF24">
        <f t="shared" si="1"/>
        <v>9.168694704</v>
      </c>
      <c r="AH24">
        <v>1.19816E-2</v>
      </c>
      <c r="AJ24">
        <v>0.10171105599999999</v>
      </c>
      <c r="AK24">
        <v>0.85552863499999998</v>
      </c>
      <c r="AL24">
        <v>4.8323584779999997</v>
      </c>
      <c r="AM24">
        <v>4.1851845999999998E-2</v>
      </c>
      <c r="AN24">
        <v>2.9452562659999999</v>
      </c>
      <c r="AO24">
        <v>0.13240075100000001</v>
      </c>
      <c r="AP24">
        <v>2.0228403999999998E-2</v>
      </c>
      <c r="AQ24">
        <v>0.227377668</v>
      </c>
      <c r="AR24">
        <v>2.9452562659999999</v>
      </c>
      <c r="AS24">
        <v>0.13240075100000001</v>
      </c>
      <c r="AT24">
        <v>4.8323584779999997</v>
      </c>
      <c r="AU24">
        <v>0.28121111399999998</v>
      </c>
      <c r="AV24">
        <v>0.97819709499999996</v>
      </c>
      <c r="AW24">
        <v>2.8913953999999999E-2</v>
      </c>
      <c r="AX24">
        <v>9.168694704</v>
      </c>
    </row>
    <row r="25" spans="1:50" hidden="1">
      <c r="A25" t="s">
        <v>50</v>
      </c>
      <c r="B25">
        <v>147647</v>
      </c>
      <c r="C25">
        <v>6300430</v>
      </c>
      <c r="D25">
        <v>486800</v>
      </c>
      <c r="E25" t="s">
        <v>51</v>
      </c>
      <c r="F25" t="s">
        <v>52</v>
      </c>
      <c r="G25" s="5">
        <v>43378</v>
      </c>
      <c r="H25">
        <v>2018</v>
      </c>
      <c r="I25">
        <v>10</v>
      </c>
      <c r="J25">
        <v>5</v>
      </c>
      <c r="K25">
        <v>0.5</v>
      </c>
      <c r="L25">
        <v>1</v>
      </c>
      <c r="M25">
        <v>10</v>
      </c>
      <c r="N25">
        <v>10.3</v>
      </c>
      <c r="O25">
        <v>91.3</v>
      </c>
      <c r="P25">
        <v>7.7</v>
      </c>
      <c r="Q25">
        <v>0.61</v>
      </c>
      <c r="R25">
        <v>20.9</v>
      </c>
      <c r="S25" t="s">
        <v>53</v>
      </c>
      <c r="T25" t="s">
        <v>53</v>
      </c>
      <c r="U25">
        <v>400</v>
      </c>
      <c r="V25">
        <v>41</v>
      </c>
      <c r="W25">
        <v>130</v>
      </c>
      <c r="X25" t="s">
        <v>54</v>
      </c>
      <c r="Y25" t="s">
        <v>54</v>
      </c>
      <c r="Z25" t="s">
        <v>54</v>
      </c>
      <c r="AA25">
        <v>3.4000000000000002E-2</v>
      </c>
      <c r="AB25" s="11">
        <f t="shared" si="0"/>
        <v>1.1333333333333335</v>
      </c>
      <c r="AC25">
        <v>16</v>
      </c>
      <c r="AD25">
        <v>9.1</v>
      </c>
      <c r="AE25">
        <v>36</v>
      </c>
      <c r="AF25">
        <f t="shared" si="1"/>
        <v>3.1877259900000001</v>
      </c>
      <c r="AG25">
        <v>6.9082373000000002E-2</v>
      </c>
      <c r="AH25">
        <v>2.2017116E-2</v>
      </c>
      <c r="AI25">
        <v>5.0265268000000002E-2</v>
      </c>
      <c r="AJ25">
        <v>8.4233434999999995E-2</v>
      </c>
      <c r="AK25">
        <v>0.471580789</v>
      </c>
      <c r="AL25">
        <v>1.3868087019999999</v>
      </c>
      <c r="AM25">
        <v>3.9550845000000001E-2</v>
      </c>
      <c r="AN25">
        <v>0.62517041900000003</v>
      </c>
      <c r="AO25">
        <v>7.5459045000000002E-2</v>
      </c>
      <c r="AP25">
        <v>9.7751299999999995E-4</v>
      </c>
      <c r="AQ25">
        <v>0.36258048500000001</v>
      </c>
      <c r="AR25">
        <v>0.67543568700000001</v>
      </c>
      <c r="AS25">
        <v>7.5459045000000002E-2</v>
      </c>
      <c r="AT25">
        <v>1.3868087019999999</v>
      </c>
      <c r="AU25">
        <v>0.49323081899999999</v>
      </c>
      <c r="AV25">
        <v>0.55356886699999996</v>
      </c>
      <c r="AW25">
        <v>1.5291316999999999E-2</v>
      </c>
      <c r="AX25">
        <v>3.1877259900000001</v>
      </c>
    </row>
    <row r="26" spans="1:50" hidden="1">
      <c r="A26" t="s">
        <v>50</v>
      </c>
      <c r="B26">
        <v>147647</v>
      </c>
      <c r="C26">
        <v>6300430</v>
      </c>
      <c r="D26">
        <v>486800</v>
      </c>
      <c r="E26" t="s">
        <v>51</v>
      </c>
      <c r="F26" t="s">
        <v>52</v>
      </c>
      <c r="G26" s="5">
        <v>43593</v>
      </c>
      <c r="H26">
        <v>2019</v>
      </c>
      <c r="I26">
        <v>5</v>
      </c>
      <c r="J26">
        <v>8</v>
      </c>
      <c r="K26">
        <v>0.5</v>
      </c>
      <c r="L26">
        <v>1.7</v>
      </c>
      <c r="M26">
        <v>10.5</v>
      </c>
      <c r="N26">
        <v>11.4</v>
      </c>
      <c r="O26">
        <v>102</v>
      </c>
      <c r="P26">
        <v>7.4</v>
      </c>
      <c r="Q26">
        <v>0.43</v>
      </c>
      <c r="R26">
        <v>22.3</v>
      </c>
      <c r="S26">
        <v>27</v>
      </c>
      <c r="T26" t="s">
        <v>53</v>
      </c>
      <c r="U26">
        <v>580</v>
      </c>
      <c r="V26">
        <v>6</v>
      </c>
      <c r="W26">
        <v>88</v>
      </c>
      <c r="X26" t="s">
        <v>54</v>
      </c>
      <c r="Y26" t="s">
        <v>54</v>
      </c>
      <c r="Z26" t="s">
        <v>54</v>
      </c>
      <c r="AA26">
        <v>3.5000000000000003E-2</v>
      </c>
      <c r="AB26" s="11">
        <f t="shared" si="0"/>
        <v>1.1666666666666667</v>
      </c>
      <c r="AC26">
        <v>13</v>
      </c>
      <c r="AD26">
        <v>7.2</v>
      </c>
      <c r="AE26">
        <v>13</v>
      </c>
      <c r="AF26">
        <f t="shared" si="1"/>
        <v>4.6720576519999995</v>
      </c>
      <c r="AG26">
        <v>5.4561811000000002E-2</v>
      </c>
      <c r="AH26">
        <v>0.29364430699999999</v>
      </c>
      <c r="AK26">
        <v>0.46301234800000002</v>
      </c>
      <c r="AL26">
        <v>3.1582997979999998</v>
      </c>
      <c r="AM26">
        <v>2.41365E-4</v>
      </c>
      <c r="AN26">
        <v>0.192162158</v>
      </c>
      <c r="AO26">
        <v>0.48876722</v>
      </c>
      <c r="AP26">
        <v>9.6529839999999999E-3</v>
      </c>
      <c r="AQ26">
        <v>1.1715661E-2</v>
      </c>
      <c r="AR26">
        <v>0.192162158</v>
      </c>
      <c r="AS26">
        <v>0.48876722</v>
      </c>
      <c r="AT26">
        <v>3.1582997979999998</v>
      </c>
      <c r="AU26">
        <v>0.36016314399999999</v>
      </c>
      <c r="AV26">
        <v>0.47248292400000003</v>
      </c>
      <c r="AW26">
        <v>1.8240800000000001E-4</v>
      </c>
      <c r="AX26">
        <v>4.6720576519999995</v>
      </c>
    </row>
    <row r="27" spans="1:50" hidden="1">
      <c r="A27" t="s">
        <v>50</v>
      </c>
      <c r="B27">
        <v>147647</v>
      </c>
      <c r="C27">
        <v>6300430</v>
      </c>
      <c r="D27">
        <v>486800</v>
      </c>
      <c r="E27" t="s">
        <v>51</v>
      </c>
      <c r="F27" t="s">
        <v>52</v>
      </c>
      <c r="G27" s="5">
        <v>43634</v>
      </c>
      <c r="H27">
        <v>2019</v>
      </c>
      <c r="I27">
        <v>6</v>
      </c>
      <c r="J27">
        <v>18</v>
      </c>
      <c r="K27">
        <v>0.5</v>
      </c>
      <c r="L27">
        <v>2.2000000000000002</v>
      </c>
      <c r="M27">
        <v>20.3</v>
      </c>
      <c r="N27">
        <v>10.1</v>
      </c>
      <c r="O27">
        <v>112</v>
      </c>
      <c r="P27">
        <v>7.5</v>
      </c>
      <c r="Q27">
        <v>0.43</v>
      </c>
      <c r="R27">
        <v>23.7</v>
      </c>
      <c r="S27">
        <v>150</v>
      </c>
      <c r="T27" t="s">
        <v>53</v>
      </c>
      <c r="U27" t="s">
        <v>54</v>
      </c>
      <c r="V27">
        <v>27</v>
      </c>
      <c r="W27">
        <v>75</v>
      </c>
      <c r="X27" t="s">
        <v>54</v>
      </c>
      <c r="Y27" t="s">
        <v>54</v>
      </c>
      <c r="Z27" t="s">
        <v>54</v>
      </c>
      <c r="AA27">
        <v>3.7999999999999999E-2</v>
      </c>
      <c r="AB27" s="11">
        <f t="shared" si="0"/>
        <v>1.2666666666666666</v>
      </c>
      <c r="AC27">
        <v>6.7</v>
      </c>
      <c r="AD27">
        <v>9</v>
      </c>
      <c r="AE27">
        <v>27</v>
      </c>
      <c r="AF27">
        <f t="shared" si="1"/>
        <v>8.2582633287999982</v>
      </c>
      <c r="AG27">
        <v>2.6402327E-2</v>
      </c>
      <c r="AH27">
        <v>0.12683796899999999</v>
      </c>
      <c r="AI27">
        <v>0.248337155</v>
      </c>
      <c r="AJ27">
        <v>2.9966239999999998E-3</v>
      </c>
      <c r="AK27">
        <v>0.78382554000000004</v>
      </c>
      <c r="AL27">
        <v>1.829059378</v>
      </c>
      <c r="AM27">
        <v>9.6497799999999996E-5</v>
      </c>
      <c r="AN27">
        <v>0.22119349799999999</v>
      </c>
      <c r="AO27">
        <v>4.9544095549999998</v>
      </c>
      <c r="AP27">
        <v>3.4376661000000003E-2</v>
      </c>
      <c r="AQ27">
        <v>3.0728123999999999E-2</v>
      </c>
      <c r="AR27">
        <v>0.46953065300000002</v>
      </c>
      <c r="AS27">
        <v>4.9544095549999998</v>
      </c>
      <c r="AT27">
        <v>1.829059378</v>
      </c>
      <c r="AU27">
        <v>0.18406491780000001</v>
      </c>
      <c r="AV27">
        <v>0.85927900099999999</v>
      </c>
      <c r="AW27">
        <v>1.8824041E-2</v>
      </c>
      <c r="AX27">
        <v>8.2582633287999982</v>
      </c>
    </row>
    <row r="28" spans="1:50" hidden="1">
      <c r="A28" t="s">
        <v>50</v>
      </c>
      <c r="B28">
        <v>147647</v>
      </c>
      <c r="C28">
        <v>6300430</v>
      </c>
      <c r="D28">
        <v>486800</v>
      </c>
      <c r="E28" t="s">
        <v>51</v>
      </c>
      <c r="F28" t="s">
        <v>52</v>
      </c>
      <c r="G28" s="5">
        <v>43654</v>
      </c>
      <c r="H28">
        <v>2019</v>
      </c>
      <c r="I28">
        <v>7</v>
      </c>
      <c r="J28">
        <v>8</v>
      </c>
      <c r="K28">
        <v>0.5</v>
      </c>
      <c r="L28">
        <v>2.2000000000000002</v>
      </c>
      <c r="M28">
        <v>17.8</v>
      </c>
      <c r="N28">
        <v>10.4</v>
      </c>
      <c r="O28">
        <v>109</v>
      </c>
      <c r="P28">
        <v>7.7</v>
      </c>
      <c r="Q28">
        <v>0.34</v>
      </c>
      <c r="R28">
        <v>24.1</v>
      </c>
      <c r="S28" t="s">
        <v>53</v>
      </c>
      <c r="T28" t="s">
        <v>53</v>
      </c>
      <c r="U28">
        <v>920</v>
      </c>
      <c r="V28">
        <v>8.1999999999999993</v>
      </c>
      <c r="W28">
        <v>86</v>
      </c>
      <c r="X28" t="s">
        <v>54</v>
      </c>
      <c r="Y28" t="s">
        <v>54</v>
      </c>
      <c r="Z28" t="s">
        <v>54</v>
      </c>
      <c r="AA28">
        <v>3.3000000000000002E-2</v>
      </c>
      <c r="AB28" s="11">
        <f t="shared" si="0"/>
        <v>1.1000000000000001</v>
      </c>
      <c r="AC28">
        <v>20</v>
      </c>
      <c r="AD28">
        <v>8.1</v>
      </c>
      <c r="AE28">
        <v>65</v>
      </c>
      <c r="AF28">
        <f t="shared" si="1"/>
        <v>7.909973710500001</v>
      </c>
      <c r="AG28">
        <v>2.4202849999999999E-3</v>
      </c>
      <c r="AH28">
        <v>0.16624592299999999</v>
      </c>
      <c r="AI28">
        <v>8.4131877999999993E-2</v>
      </c>
      <c r="AJ28">
        <v>2.0884097000000001E-2</v>
      </c>
      <c r="AK28">
        <v>0.31255605850000001</v>
      </c>
      <c r="AL28">
        <v>5.337307011</v>
      </c>
      <c r="AM28">
        <v>1.039437E-3</v>
      </c>
      <c r="AN28">
        <v>1.720784847</v>
      </c>
      <c r="AO28">
        <v>0.188228056</v>
      </c>
      <c r="AP28">
        <v>4.4617041000000003E-2</v>
      </c>
      <c r="AQ28">
        <v>3.1759076999999997E-2</v>
      </c>
      <c r="AR28">
        <v>1.804916725</v>
      </c>
      <c r="AS28">
        <v>0.188228056</v>
      </c>
      <c r="AT28">
        <v>5.337307011</v>
      </c>
      <c r="AU28">
        <v>0.20146472200000001</v>
      </c>
      <c r="AV28">
        <v>0.37805719650000003</v>
      </c>
      <c r="AW28">
        <v>5.8754637999999998E-2</v>
      </c>
      <c r="AX28">
        <v>7.909973710500001</v>
      </c>
    </row>
    <row r="29" spans="1:50" hidden="1">
      <c r="A29" t="s">
        <v>50</v>
      </c>
      <c r="B29">
        <v>147647</v>
      </c>
      <c r="C29">
        <v>6300430</v>
      </c>
      <c r="D29">
        <v>486800</v>
      </c>
      <c r="E29" t="s">
        <v>51</v>
      </c>
      <c r="F29" t="s">
        <v>52</v>
      </c>
      <c r="G29" s="5">
        <v>43683</v>
      </c>
      <c r="H29">
        <v>2019</v>
      </c>
      <c r="I29">
        <v>8</v>
      </c>
      <c r="J29">
        <v>6</v>
      </c>
      <c r="K29">
        <v>0.5</v>
      </c>
      <c r="L29">
        <v>1.1000000000000001</v>
      </c>
      <c r="M29">
        <v>20.9</v>
      </c>
      <c r="N29">
        <v>9</v>
      </c>
      <c r="O29">
        <v>100.9</v>
      </c>
      <c r="P29">
        <v>7.3</v>
      </c>
      <c r="Q29">
        <v>0.3</v>
      </c>
      <c r="R29">
        <v>24.7</v>
      </c>
      <c r="S29">
        <v>22</v>
      </c>
      <c r="T29" t="s">
        <v>53</v>
      </c>
      <c r="U29">
        <v>1400</v>
      </c>
      <c r="V29" t="s">
        <v>55</v>
      </c>
      <c r="W29">
        <v>79</v>
      </c>
      <c r="X29" t="s">
        <v>54</v>
      </c>
      <c r="Y29" t="s">
        <v>54</v>
      </c>
      <c r="Z29" t="s">
        <v>54</v>
      </c>
      <c r="AA29">
        <v>0.04</v>
      </c>
      <c r="AB29" s="11">
        <f t="shared" si="0"/>
        <v>1.3333333333333335</v>
      </c>
      <c r="AC29">
        <v>21</v>
      </c>
      <c r="AD29">
        <v>9.5</v>
      </c>
      <c r="AE29">
        <v>120</v>
      </c>
      <c r="AF29">
        <f t="shared" si="1"/>
        <v>16.183233623000003</v>
      </c>
      <c r="AG29">
        <v>3.1518900000000001E-4</v>
      </c>
      <c r="AI29">
        <v>0.17909908499999999</v>
      </c>
      <c r="AJ29">
        <v>0.12760545500000001</v>
      </c>
      <c r="AK29">
        <v>0.22663265899999999</v>
      </c>
      <c r="AL29">
        <v>14.728112103000001</v>
      </c>
      <c r="AM29">
        <v>2.2046079999999998E-3</v>
      </c>
      <c r="AN29">
        <v>0.59019402099999996</v>
      </c>
      <c r="AO29">
        <v>0.106043524</v>
      </c>
      <c r="AP29">
        <v>3.2197630000000001E-3</v>
      </c>
      <c r="AQ29">
        <v>0.219807216</v>
      </c>
      <c r="AR29">
        <v>0.769293106</v>
      </c>
      <c r="AS29">
        <v>0.106043524</v>
      </c>
      <c r="AT29">
        <v>14.728112103000001</v>
      </c>
      <c r="AU29">
        <v>0.22232701299999999</v>
      </c>
      <c r="AV29">
        <v>0.359254244</v>
      </c>
      <c r="AW29">
        <v>1.4326403999999999E-2</v>
      </c>
      <c r="AX29">
        <v>16.183233623000003</v>
      </c>
    </row>
    <row r="30" spans="1:50" hidden="1">
      <c r="A30" t="s">
        <v>50</v>
      </c>
      <c r="B30">
        <v>147647</v>
      </c>
      <c r="C30">
        <v>6300430</v>
      </c>
      <c r="D30">
        <v>486800</v>
      </c>
      <c r="E30" t="s">
        <v>51</v>
      </c>
      <c r="F30" t="s">
        <v>52</v>
      </c>
      <c r="G30" s="5">
        <v>43714</v>
      </c>
      <c r="H30">
        <v>2019</v>
      </c>
      <c r="I30">
        <v>9</v>
      </c>
      <c r="J30">
        <v>6</v>
      </c>
      <c r="K30">
        <v>0.5</v>
      </c>
      <c r="L30">
        <v>5.6</v>
      </c>
      <c r="M30">
        <v>17.2</v>
      </c>
      <c r="N30">
        <v>8</v>
      </c>
      <c r="O30">
        <v>83.2</v>
      </c>
      <c r="P30">
        <v>7</v>
      </c>
      <c r="Q30">
        <v>0.21</v>
      </c>
      <c r="R30">
        <v>25</v>
      </c>
      <c r="S30">
        <v>67</v>
      </c>
      <c r="T30">
        <v>44</v>
      </c>
      <c r="U30">
        <v>470</v>
      </c>
      <c r="V30">
        <v>3.9</v>
      </c>
      <c r="W30">
        <v>40</v>
      </c>
      <c r="X30" t="s">
        <v>54</v>
      </c>
      <c r="Y30" t="s">
        <v>54</v>
      </c>
      <c r="Z30" t="s">
        <v>54</v>
      </c>
      <c r="AA30">
        <v>1.4999999999999999E-2</v>
      </c>
      <c r="AB30" s="11">
        <f t="shared" si="0"/>
        <v>0.5</v>
      </c>
      <c r="AC30">
        <v>0.88</v>
      </c>
      <c r="AD30">
        <v>4.3</v>
      </c>
      <c r="AE30">
        <v>5</v>
      </c>
      <c r="AF30">
        <f>SUM(AG30:AQ30)</f>
        <v>1.8552629983</v>
      </c>
      <c r="AG30">
        <v>4.4570699999999999E-4</v>
      </c>
      <c r="AH30">
        <v>3.354353E-3</v>
      </c>
      <c r="AI30">
        <v>0.50245302199999997</v>
      </c>
      <c r="AJ30">
        <v>1.2906694999999999E-2</v>
      </c>
      <c r="AK30">
        <v>9.9793073299999993E-2</v>
      </c>
      <c r="AL30">
        <v>2.2888744999999999E-2</v>
      </c>
      <c r="AN30">
        <v>0.18163404699999999</v>
      </c>
      <c r="AO30">
        <v>1.0162252629999999</v>
      </c>
      <c r="AP30">
        <v>5.8119139999999996E-3</v>
      </c>
      <c r="AQ30">
        <v>9.7501789999999994E-3</v>
      </c>
      <c r="AR30">
        <v>0.68408706900000005</v>
      </c>
      <c r="AS30">
        <v>1.0162252629999999</v>
      </c>
      <c r="AT30">
        <v>2.2888744999999999E-2</v>
      </c>
      <c r="AU30">
        <v>1.3550239E-2</v>
      </c>
      <c r="AV30">
        <v>0.118442062</v>
      </c>
      <c r="AW30">
        <v>6.9620299999999995E-5</v>
      </c>
      <c r="AX30">
        <v>1.8552629983</v>
      </c>
    </row>
    <row r="31" spans="1:50" hidden="1">
      <c r="A31" t="s">
        <v>50</v>
      </c>
      <c r="B31">
        <v>147647</v>
      </c>
      <c r="C31">
        <v>6300430</v>
      </c>
      <c r="D31">
        <v>486800</v>
      </c>
      <c r="E31" t="s">
        <v>51</v>
      </c>
      <c r="F31" t="s">
        <v>52</v>
      </c>
      <c r="G31" s="5">
        <v>43742</v>
      </c>
      <c r="H31">
        <v>2019</v>
      </c>
      <c r="I31">
        <v>10</v>
      </c>
      <c r="J31">
        <v>4</v>
      </c>
      <c r="K31">
        <v>0.5</v>
      </c>
      <c r="L31">
        <v>5.5</v>
      </c>
      <c r="M31">
        <v>10.6</v>
      </c>
      <c r="N31">
        <v>9.6</v>
      </c>
      <c r="O31">
        <v>86.3</v>
      </c>
      <c r="P31">
        <v>7</v>
      </c>
      <c r="Q31">
        <v>0.16</v>
      </c>
      <c r="R31">
        <v>24.6</v>
      </c>
      <c r="S31">
        <v>31</v>
      </c>
      <c r="T31">
        <v>69</v>
      </c>
      <c r="U31">
        <v>480</v>
      </c>
      <c r="V31">
        <v>6.8</v>
      </c>
      <c r="W31">
        <v>29</v>
      </c>
      <c r="X31" t="s">
        <v>54</v>
      </c>
      <c r="Y31" t="s">
        <v>54</v>
      </c>
      <c r="Z31" t="s">
        <v>54</v>
      </c>
      <c r="AA31">
        <v>1.2999999999999999E-2</v>
      </c>
      <c r="AB31" s="11">
        <f t="shared" si="0"/>
        <v>0.43333333333333335</v>
      </c>
      <c r="AC31">
        <v>0.92</v>
      </c>
      <c r="AD31">
        <v>4.3</v>
      </c>
      <c r="AE31">
        <v>4.4000000000000004</v>
      </c>
      <c r="AF31">
        <f t="shared" si="1"/>
        <v>0.32847681270000001</v>
      </c>
      <c r="AG31">
        <v>8.3957739999999999E-3</v>
      </c>
      <c r="AH31">
        <v>0.100999163</v>
      </c>
      <c r="AI31">
        <v>6.093602E-3</v>
      </c>
      <c r="AK31">
        <v>6.6361526800000001E-2</v>
      </c>
      <c r="AL31">
        <v>1.4282879E-3</v>
      </c>
      <c r="AM31">
        <v>5.0856999999999998E-5</v>
      </c>
      <c r="AN31">
        <v>4.7696710000000003E-2</v>
      </c>
      <c r="AO31">
        <v>9.5021676999999999E-2</v>
      </c>
      <c r="AP31">
        <v>1.4965219999999999E-3</v>
      </c>
      <c r="AQ31">
        <v>9.3269299999999996E-4</v>
      </c>
      <c r="AR31">
        <v>5.3790312E-2</v>
      </c>
      <c r="AS31">
        <v>9.5021676999999999E-2</v>
      </c>
      <c r="AT31">
        <v>1.4282879E-3</v>
      </c>
      <c r="AU31">
        <v>0.110378487</v>
      </c>
      <c r="AV31">
        <v>6.7858048800000001E-2</v>
      </c>
      <c r="AW31">
        <v>0</v>
      </c>
      <c r="AX31">
        <v>0.32847681270000001</v>
      </c>
    </row>
    <row r="32" spans="1:50" hidden="1">
      <c r="A32" t="s">
        <v>50</v>
      </c>
      <c r="B32">
        <v>147647</v>
      </c>
      <c r="C32">
        <v>6300430</v>
      </c>
      <c r="D32">
        <v>486800</v>
      </c>
      <c r="E32" t="s">
        <v>51</v>
      </c>
      <c r="F32" t="s">
        <v>56</v>
      </c>
      <c r="G32" s="5">
        <v>43775</v>
      </c>
      <c r="H32">
        <v>2019</v>
      </c>
      <c r="I32">
        <v>11</v>
      </c>
      <c r="J32">
        <v>6</v>
      </c>
      <c r="K32">
        <v>0.5</v>
      </c>
      <c r="M32">
        <v>2.1</v>
      </c>
      <c r="N32" t="s">
        <v>54</v>
      </c>
      <c r="O32" t="s">
        <v>54</v>
      </c>
      <c r="P32">
        <v>6.81</v>
      </c>
      <c r="Q32" t="s">
        <v>54</v>
      </c>
      <c r="R32">
        <v>24.9</v>
      </c>
      <c r="S32">
        <v>27</v>
      </c>
      <c r="T32">
        <v>91</v>
      </c>
      <c r="U32">
        <v>405</v>
      </c>
      <c r="V32">
        <v>9</v>
      </c>
      <c r="W32">
        <v>26.1</v>
      </c>
      <c r="X32">
        <v>0.22</v>
      </c>
      <c r="Y32">
        <v>0.36499999999999999</v>
      </c>
      <c r="Z32">
        <v>0.04</v>
      </c>
      <c r="AA32">
        <v>1.4E-2</v>
      </c>
      <c r="AB32" s="11">
        <f t="shared" si="0"/>
        <v>0.46666666666666667</v>
      </c>
      <c r="AC32">
        <v>0.64</v>
      </c>
      <c r="AD32">
        <v>4.4000000000000004</v>
      </c>
      <c r="AE32" t="s">
        <v>54</v>
      </c>
    </row>
    <row r="33" spans="1:50" hidden="1">
      <c r="A33" t="s">
        <v>50</v>
      </c>
      <c r="B33">
        <v>147647</v>
      </c>
      <c r="C33">
        <v>6300430</v>
      </c>
      <c r="D33">
        <v>486800</v>
      </c>
      <c r="E33" t="s">
        <v>51</v>
      </c>
      <c r="F33" t="s">
        <v>52</v>
      </c>
      <c r="G33" s="5">
        <v>43963</v>
      </c>
      <c r="H33">
        <v>2020</v>
      </c>
      <c r="I33">
        <v>5</v>
      </c>
      <c r="J33">
        <v>12</v>
      </c>
      <c r="K33">
        <v>0.5</v>
      </c>
      <c r="L33">
        <v>5</v>
      </c>
      <c r="M33">
        <v>12.3</v>
      </c>
      <c r="N33">
        <v>11.2</v>
      </c>
      <c r="O33">
        <v>105</v>
      </c>
      <c r="P33">
        <v>7.5</v>
      </c>
      <c r="Q33">
        <v>0.3</v>
      </c>
      <c r="R33">
        <v>19.399999999999999</v>
      </c>
      <c r="S33" t="s">
        <v>53</v>
      </c>
      <c r="T33" t="s">
        <v>53</v>
      </c>
      <c r="U33">
        <v>420</v>
      </c>
      <c r="V33" t="s">
        <v>55</v>
      </c>
      <c r="W33">
        <v>26</v>
      </c>
      <c r="X33" t="s">
        <v>54</v>
      </c>
      <c r="Y33" t="s">
        <v>54</v>
      </c>
      <c r="Z33" t="s">
        <v>54</v>
      </c>
      <c r="AA33">
        <v>5.8000000000000003E-2</v>
      </c>
      <c r="AB33" s="11">
        <f t="shared" si="0"/>
        <v>1.9333333333333336</v>
      </c>
      <c r="AC33">
        <v>1.1000000000000001</v>
      </c>
      <c r="AD33">
        <v>6.5</v>
      </c>
      <c r="AE33">
        <v>6</v>
      </c>
      <c r="AF33">
        <f t="shared" si="1"/>
        <v>1.088998165</v>
      </c>
      <c r="AG33">
        <v>5.5051179999999998E-3</v>
      </c>
      <c r="AH33">
        <v>6.6942935999999995E-2</v>
      </c>
      <c r="AK33">
        <v>0.52820244500000002</v>
      </c>
      <c r="AL33">
        <v>1.0266948E-2</v>
      </c>
      <c r="AN33">
        <v>0.166068837</v>
      </c>
      <c r="AO33">
        <v>0.29937728299999999</v>
      </c>
      <c r="AP33">
        <v>1.0878280000000001E-3</v>
      </c>
      <c r="AQ33">
        <v>1.154677E-2</v>
      </c>
      <c r="AR33">
        <v>0.166068837</v>
      </c>
      <c r="AS33">
        <v>0.29937728299999999</v>
      </c>
      <c r="AT33">
        <v>1.0266948E-2</v>
      </c>
      <c r="AU33">
        <v>8.3994823999999996E-2</v>
      </c>
      <c r="AV33">
        <v>0.52929027299999998</v>
      </c>
      <c r="AW33">
        <v>2.8979629999999999E-3</v>
      </c>
      <c r="AX33">
        <v>1.088998165</v>
      </c>
    </row>
    <row r="34" spans="1:50" hidden="1">
      <c r="A34" t="s">
        <v>50</v>
      </c>
      <c r="B34">
        <v>147647</v>
      </c>
      <c r="C34">
        <v>6300430</v>
      </c>
      <c r="D34">
        <v>486800</v>
      </c>
      <c r="E34" t="s">
        <v>51</v>
      </c>
      <c r="F34" t="s">
        <v>52</v>
      </c>
      <c r="G34" s="5">
        <v>43992</v>
      </c>
      <c r="H34">
        <v>2020</v>
      </c>
      <c r="I34">
        <v>6</v>
      </c>
      <c r="J34">
        <v>10</v>
      </c>
      <c r="K34">
        <v>0.5</v>
      </c>
      <c r="L34">
        <v>4.3</v>
      </c>
      <c r="M34">
        <v>18</v>
      </c>
      <c r="N34">
        <v>10</v>
      </c>
      <c r="O34">
        <v>106</v>
      </c>
      <c r="P34">
        <v>7.3</v>
      </c>
      <c r="Q34">
        <v>0.3</v>
      </c>
      <c r="R34">
        <v>23.4</v>
      </c>
      <c r="S34" t="s">
        <v>53</v>
      </c>
      <c r="T34" t="s">
        <v>53</v>
      </c>
      <c r="U34">
        <v>380</v>
      </c>
      <c r="V34">
        <v>3.3</v>
      </c>
      <c r="W34">
        <v>18</v>
      </c>
      <c r="X34" t="s">
        <v>54</v>
      </c>
      <c r="Y34" t="s">
        <v>54</v>
      </c>
      <c r="Z34" t="s">
        <v>54</v>
      </c>
      <c r="AA34">
        <v>2.9000000000000001E-2</v>
      </c>
      <c r="AB34" s="11">
        <f t="shared" si="0"/>
        <v>0.96666666666666679</v>
      </c>
      <c r="AC34">
        <v>1.6</v>
      </c>
      <c r="AD34">
        <v>6.9</v>
      </c>
      <c r="AE34">
        <v>5.9</v>
      </c>
      <c r="AF34">
        <f t="shared" si="1"/>
        <v>0.74374236910000002</v>
      </c>
      <c r="AG34">
        <v>2.8242389999999999E-2</v>
      </c>
      <c r="AH34">
        <v>1.528017E-3</v>
      </c>
      <c r="AI34">
        <v>5.4980438E-2</v>
      </c>
      <c r="AJ34">
        <v>1.5195978000000001E-2</v>
      </c>
      <c r="AK34">
        <v>4.6981220999999997E-2</v>
      </c>
      <c r="AL34">
        <v>2.8877771E-2</v>
      </c>
      <c r="AN34">
        <v>6.8945144999999999E-2</v>
      </c>
      <c r="AO34">
        <v>1.1663562000000001E-2</v>
      </c>
      <c r="AP34">
        <v>9.4452100000000003E-5</v>
      </c>
      <c r="AQ34">
        <v>0.48723339500000001</v>
      </c>
      <c r="AR34">
        <v>0.12392558300000001</v>
      </c>
      <c r="AS34">
        <v>1.1663562000000001E-2</v>
      </c>
      <c r="AT34">
        <v>2.8877771E-2</v>
      </c>
      <c r="AU34">
        <v>0.51700380199999996</v>
      </c>
      <c r="AV34">
        <v>7.5498976100000004E-2</v>
      </c>
      <c r="AW34">
        <v>1.9319750000000001E-3</v>
      </c>
      <c r="AX34">
        <v>0.74374236910000002</v>
      </c>
    </row>
    <row r="35" spans="1:50" hidden="1">
      <c r="A35" t="s">
        <v>50</v>
      </c>
      <c r="B35">
        <v>147647</v>
      </c>
      <c r="C35">
        <v>6300430</v>
      </c>
      <c r="D35">
        <v>486800</v>
      </c>
      <c r="E35" t="s">
        <v>51</v>
      </c>
      <c r="F35" t="s">
        <v>52</v>
      </c>
      <c r="G35" s="5">
        <v>44022</v>
      </c>
      <c r="H35">
        <v>2020</v>
      </c>
      <c r="I35">
        <v>7</v>
      </c>
      <c r="J35">
        <v>10</v>
      </c>
      <c r="K35">
        <v>0.5</v>
      </c>
      <c r="L35">
        <v>3.6</v>
      </c>
      <c r="M35">
        <v>17.8</v>
      </c>
      <c r="N35">
        <v>9.4</v>
      </c>
      <c r="O35">
        <v>98.9</v>
      </c>
      <c r="P35">
        <v>7.3</v>
      </c>
      <c r="Q35">
        <v>0.31</v>
      </c>
      <c r="R35">
        <v>23.7</v>
      </c>
      <c r="S35" t="s">
        <v>53</v>
      </c>
      <c r="T35">
        <v>36</v>
      </c>
      <c r="U35">
        <v>400</v>
      </c>
      <c r="V35" t="s">
        <v>55</v>
      </c>
      <c r="W35">
        <v>17</v>
      </c>
      <c r="X35" t="s">
        <v>54</v>
      </c>
      <c r="Y35" t="s">
        <v>54</v>
      </c>
      <c r="Z35" t="s">
        <v>54</v>
      </c>
      <c r="AA35">
        <v>1.4999999999999999E-2</v>
      </c>
      <c r="AB35" s="11">
        <f t="shared" si="0"/>
        <v>0.5</v>
      </c>
      <c r="AC35">
        <v>1.9</v>
      </c>
      <c r="AD35">
        <v>5.4</v>
      </c>
      <c r="AE35">
        <v>4.4000000000000004</v>
      </c>
      <c r="AF35">
        <f t="shared" si="1"/>
        <v>0.95384434220000003</v>
      </c>
      <c r="AG35">
        <v>0.127971416</v>
      </c>
      <c r="AH35">
        <v>4.3963170000000003E-3</v>
      </c>
      <c r="AI35">
        <v>5.0981164000000002E-2</v>
      </c>
      <c r="AJ35">
        <v>1.9952614E-2</v>
      </c>
      <c r="AK35">
        <v>0.1630721342</v>
      </c>
      <c r="AL35">
        <v>3.3303948E-2</v>
      </c>
      <c r="AN35">
        <v>0.45526107399999999</v>
      </c>
      <c r="AO35">
        <v>6.4783256999999997E-2</v>
      </c>
      <c r="AP35">
        <v>1.5313567E-2</v>
      </c>
      <c r="AQ35">
        <v>1.8808851000000001E-2</v>
      </c>
      <c r="AR35">
        <v>0.50624223800000001</v>
      </c>
      <c r="AS35">
        <v>6.4783256999999997E-2</v>
      </c>
      <c r="AT35">
        <v>3.3303948E-2</v>
      </c>
      <c r="AU35">
        <v>0.151176584</v>
      </c>
      <c r="AV35">
        <v>0.1989895052</v>
      </c>
      <c r="AW35">
        <v>2.0393069999999999E-2</v>
      </c>
      <c r="AX35">
        <v>0.95384434220000003</v>
      </c>
    </row>
    <row r="36" spans="1:50" hidden="1">
      <c r="A36" t="s">
        <v>50</v>
      </c>
      <c r="B36">
        <v>147647</v>
      </c>
      <c r="C36">
        <v>6300430</v>
      </c>
      <c r="D36">
        <v>486800</v>
      </c>
      <c r="E36" t="s">
        <v>51</v>
      </c>
      <c r="F36" t="s">
        <v>52</v>
      </c>
      <c r="G36" s="5">
        <v>44048</v>
      </c>
      <c r="H36">
        <v>2020</v>
      </c>
      <c r="I36">
        <v>8</v>
      </c>
      <c r="J36">
        <v>5</v>
      </c>
      <c r="K36">
        <v>0.5</v>
      </c>
      <c r="L36">
        <v>4</v>
      </c>
      <c r="M36">
        <v>18.8</v>
      </c>
      <c r="N36">
        <v>9.1</v>
      </c>
      <c r="O36">
        <v>97.7</v>
      </c>
      <c r="P36">
        <v>7.2</v>
      </c>
      <c r="Q36">
        <v>0.26</v>
      </c>
      <c r="R36">
        <v>24</v>
      </c>
      <c r="S36" t="s">
        <v>53</v>
      </c>
      <c r="T36" t="s">
        <v>53</v>
      </c>
      <c r="U36">
        <v>390</v>
      </c>
      <c r="V36" t="s">
        <v>55</v>
      </c>
      <c r="W36">
        <v>16</v>
      </c>
      <c r="X36" t="s">
        <v>54</v>
      </c>
      <c r="Y36" t="s">
        <v>54</v>
      </c>
      <c r="Z36" t="s">
        <v>54</v>
      </c>
      <c r="AA36">
        <v>1.7000000000000001E-2</v>
      </c>
      <c r="AB36" s="11">
        <f t="shared" si="0"/>
        <v>0.56666666666666676</v>
      </c>
      <c r="AC36">
        <v>1.9</v>
      </c>
      <c r="AD36">
        <v>5.4</v>
      </c>
      <c r="AE36">
        <v>6.3</v>
      </c>
      <c r="AF36">
        <f>SUM(AG36:AQ36)</f>
        <v>2.7147954679999997</v>
      </c>
      <c r="AG36">
        <v>0.27342171240000002</v>
      </c>
      <c r="AH36">
        <v>0.29654989799999998</v>
      </c>
      <c r="AI36">
        <v>8.9903047E-2</v>
      </c>
      <c r="AJ36">
        <v>0.27185438699999998</v>
      </c>
      <c r="AK36">
        <v>0.1424600117</v>
      </c>
      <c r="AL36">
        <v>0.39407357300000001</v>
      </c>
      <c r="AM36">
        <v>1.502647E-3</v>
      </c>
      <c r="AN36">
        <v>1.128741022</v>
      </c>
      <c r="AO36">
        <v>7.3291060000000005E-2</v>
      </c>
      <c r="AP36">
        <v>2.6917637899999999E-2</v>
      </c>
      <c r="AQ36">
        <v>1.6080471999999998E-2</v>
      </c>
      <c r="AR36">
        <v>1.218644069</v>
      </c>
      <c r="AS36">
        <v>7.3291060000000005E-2</v>
      </c>
      <c r="AT36">
        <v>0.39407357300000001</v>
      </c>
      <c r="AU36">
        <v>0.58755472939999998</v>
      </c>
      <c r="AV36">
        <v>0.4438649006</v>
      </c>
      <c r="AW36">
        <v>5.3665969999999999E-3</v>
      </c>
      <c r="AX36">
        <v>2.7147954679999997</v>
      </c>
    </row>
    <row r="37" spans="1:50" hidden="1">
      <c r="A37" t="s">
        <v>50</v>
      </c>
      <c r="B37">
        <v>147647</v>
      </c>
      <c r="C37">
        <v>6300430</v>
      </c>
      <c r="D37">
        <v>486800</v>
      </c>
      <c r="E37" t="s">
        <v>51</v>
      </c>
      <c r="F37" t="s">
        <v>52</v>
      </c>
      <c r="G37" s="5">
        <v>44078</v>
      </c>
      <c r="H37">
        <v>2020</v>
      </c>
      <c r="I37">
        <v>9</v>
      </c>
      <c r="J37">
        <v>4</v>
      </c>
      <c r="K37">
        <v>0.5</v>
      </c>
      <c r="L37">
        <v>5.4</v>
      </c>
      <c r="M37">
        <v>17.2</v>
      </c>
      <c r="N37">
        <v>8.1999999999999993</v>
      </c>
      <c r="O37">
        <v>85.3</v>
      </c>
      <c r="P37">
        <v>7.2</v>
      </c>
      <c r="Q37">
        <v>0.21</v>
      </c>
      <c r="R37">
        <v>25</v>
      </c>
      <c r="S37">
        <v>42</v>
      </c>
      <c r="T37">
        <v>21</v>
      </c>
      <c r="U37">
        <v>460</v>
      </c>
      <c r="V37">
        <v>2.8</v>
      </c>
      <c r="W37">
        <v>17</v>
      </c>
      <c r="X37" t="s">
        <v>54</v>
      </c>
      <c r="Y37" t="s">
        <v>54</v>
      </c>
      <c r="Z37" t="s">
        <v>54</v>
      </c>
      <c r="AA37">
        <v>2.8000000000000001E-2</v>
      </c>
      <c r="AB37" s="11">
        <f t="shared" si="0"/>
        <v>0.93333333333333335</v>
      </c>
      <c r="AC37">
        <v>1.7</v>
      </c>
      <c r="AD37">
        <v>5.6</v>
      </c>
      <c r="AE37">
        <v>6.2</v>
      </c>
      <c r="AF37">
        <f t="shared" si="1"/>
        <v>0.62724434970000009</v>
      </c>
      <c r="AG37">
        <v>9.4536228E-2</v>
      </c>
      <c r="AH37">
        <v>0.124302709</v>
      </c>
      <c r="AI37">
        <v>4.7180657000000001E-2</v>
      </c>
      <c r="AJ37">
        <v>3.2172740999999998E-2</v>
      </c>
      <c r="AK37">
        <v>4.9070557000000001E-2</v>
      </c>
      <c r="AL37">
        <v>1.7620874000000002E-2</v>
      </c>
      <c r="AN37">
        <v>0.169823011</v>
      </c>
      <c r="AO37">
        <v>7.8184569999999995E-2</v>
      </c>
      <c r="AP37">
        <v>9.5810236999999999E-3</v>
      </c>
      <c r="AQ37">
        <v>4.771979E-3</v>
      </c>
      <c r="AR37">
        <v>0.21700366800000001</v>
      </c>
      <c r="AS37">
        <v>7.8184569999999995E-2</v>
      </c>
      <c r="AT37">
        <v>1.7620874000000002E-2</v>
      </c>
      <c r="AU37">
        <v>0.22361091599999999</v>
      </c>
      <c r="AV37">
        <v>9.6202316699999998E-2</v>
      </c>
      <c r="AW37">
        <v>4.8299379999999998E-3</v>
      </c>
      <c r="AX37">
        <v>0.62724434970000009</v>
      </c>
    </row>
    <row r="38" spans="1:50" hidden="1">
      <c r="A38" t="s">
        <v>50</v>
      </c>
      <c r="B38">
        <v>147647</v>
      </c>
      <c r="C38">
        <v>6300430</v>
      </c>
      <c r="D38">
        <v>486800</v>
      </c>
      <c r="E38" t="s">
        <v>51</v>
      </c>
      <c r="F38" t="s">
        <v>52</v>
      </c>
      <c r="G38" s="5">
        <v>44105</v>
      </c>
      <c r="H38">
        <v>2020</v>
      </c>
      <c r="I38">
        <v>10</v>
      </c>
      <c r="J38">
        <v>1</v>
      </c>
      <c r="K38">
        <v>0.5</v>
      </c>
      <c r="L38">
        <v>5.4</v>
      </c>
      <c r="M38">
        <v>14.6</v>
      </c>
      <c r="N38">
        <v>8.1999999999999993</v>
      </c>
      <c r="O38">
        <v>80.7</v>
      </c>
      <c r="P38">
        <v>7</v>
      </c>
      <c r="Q38">
        <v>0.18</v>
      </c>
      <c r="R38">
        <v>24.3</v>
      </c>
      <c r="S38" t="s">
        <v>53</v>
      </c>
      <c r="T38" t="s">
        <v>53</v>
      </c>
      <c r="U38">
        <v>480</v>
      </c>
      <c r="V38" t="s">
        <v>55</v>
      </c>
      <c r="W38">
        <v>21</v>
      </c>
      <c r="X38" t="s">
        <v>54</v>
      </c>
      <c r="Y38" t="s">
        <v>54</v>
      </c>
      <c r="Z38" t="s">
        <v>54</v>
      </c>
      <c r="AA38">
        <v>1.6E-2</v>
      </c>
      <c r="AB38" s="11">
        <f t="shared" si="0"/>
        <v>0.53333333333333333</v>
      </c>
      <c r="AC38">
        <v>0.99</v>
      </c>
      <c r="AD38">
        <v>4.7</v>
      </c>
      <c r="AE38">
        <v>11</v>
      </c>
      <c r="AF38">
        <f t="shared" si="1"/>
        <v>1.043531363</v>
      </c>
      <c r="AG38">
        <v>0.184957815</v>
      </c>
      <c r="AH38">
        <v>0.415881626</v>
      </c>
      <c r="AK38">
        <v>4.8899747E-2</v>
      </c>
      <c r="AL38">
        <v>7.7942910000000001E-3</v>
      </c>
      <c r="AN38">
        <v>4.7872065999999998E-2</v>
      </c>
      <c r="AO38">
        <v>0.32961132700000001</v>
      </c>
      <c r="AP38">
        <v>2.9504029999999999E-3</v>
      </c>
      <c r="AQ38">
        <v>5.564088E-3</v>
      </c>
      <c r="AR38">
        <v>4.7872065999999998E-2</v>
      </c>
      <c r="AS38">
        <v>0.32961132700000001</v>
      </c>
      <c r="AT38">
        <v>7.7942910000000001E-3</v>
      </c>
      <c r="AU38">
        <v>0.60640352900000005</v>
      </c>
      <c r="AV38">
        <v>5.1850149999999998E-2</v>
      </c>
      <c r="AW38">
        <v>0</v>
      </c>
      <c r="AX38">
        <v>1.043531363</v>
      </c>
    </row>
    <row r="39" spans="1:50" hidden="1">
      <c r="A39" t="s">
        <v>50</v>
      </c>
      <c r="B39">
        <v>147647</v>
      </c>
      <c r="C39">
        <v>6300430</v>
      </c>
      <c r="D39">
        <v>486800</v>
      </c>
      <c r="E39" t="s">
        <v>51</v>
      </c>
      <c r="F39" t="s">
        <v>52</v>
      </c>
      <c r="G39" s="5">
        <v>44327</v>
      </c>
      <c r="H39">
        <v>2021</v>
      </c>
      <c r="I39">
        <v>5</v>
      </c>
      <c r="J39">
        <v>11</v>
      </c>
      <c r="K39">
        <v>0.5</v>
      </c>
      <c r="L39">
        <v>4</v>
      </c>
      <c r="M39">
        <v>12.3</v>
      </c>
      <c r="N39">
        <v>11.2</v>
      </c>
      <c r="O39">
        <v>105</v>
      </c>
      <c r="P39">
        <v>7.4</v>
      </c>
      <c r="Q39">
        <v>0.31</v>
      </c>
      <c r="R39">
        <v>21.6</v>
      </c>
      <c r="S39" t="s">
        <v>53</v>
      </c>
      <c r="T39" t="s">
        <v>53</v>
      </c>
      <c r="U39">
        <v>410</v>
      </c>
      <c r="V39">
        <v>2</v>
      </c>
      <c r="W39">
        <v>21</v>
      </c>
      <c r="X39" t="s">
        <v>54</v>
      </c>
      <c r="Y39" t="s">
        <v>54</v>
      </c>
      <c r="Z39" t="s">
        <v>54</v>
      </c>
      <c r="AA39">
        <v>2.5999999999999999E-2</v>
      </c>
      <c r="AB39" s="11">
        <f t="shared" si="0"/>
        <v>0.8666666666666667</v>
      </c>
      <c r="AC39">
        <v>1.4</v>
      </c>
      <c r="AD39">
        <v>5.9</v>
      </c>
      <c r="AE39">
        <v>6.3</v>
      </c>
      <c r="AF39">
        <f t="shared" si="1"/>
        <v>1.0611222760000003</v>
      </c>
      <c r="AG39">
        <v>0.73227785499999998</v>
      </c>
      <c r="AH39">
        <v>6.8226609999999998E-3</v>
      </c>
      <c r="AK39">
        <v>3.2603938999999998E-2</v>
      </c>
      <c r="AL39">
        <v>0.151518659</v>
      </c>
      <c r="AM39">
        <v>4.6569089999999999E-3</v>
      </c>
      <c r="AN39">
        <v>4.8083791000000001E-2</v>
      </c>
      <c r="AO39">
        <v>4.7349750000000003E-2</v>
      </c>
      <c r="AP39">
        <v>7.7875139999999997E-3</v>
      </c>
      <c r="AQ39">
        <v>3.0021197999999999E-2</v>
      </c>
      <c r="AR39">
        <v>4.8083791000000001E-2</v>
      </c>
      <c r="AS39">
        <v>4.7349750000000003E-2</v>
      </c>
      <c r="AT39">
        <v>0.151518659</v>
      </c>
      <c r="AU39">
        <v>0.773778623</v>
      </c>
      <c r="AV39">
        <v>4.4303365999999997E-2</v>
      </c>
      <c r="AW39">
        <v>3.709529E-3</v>
      </c>
      <c r="AX39">
        <v>1.0611222760000003</v>
      </c>
    </row>
    <row r="40" spans="1:50" hidden="1">
      <c r="A40" t="s">
        <v>50</v>
      </c>
      <c r="B40">
        <v>147647</v>
      </c>
      <c r="C40">
        <v>6300430</v>
      </c>
      <c r="D40">
        <v>486800</v>
      </c>
      <c r="E40" t="s">
        <v>51</v>
      </c>
      <c r="F40" t="s">
        <v>52</v>
      </c>
      <c r="G40" s="5">
        <v>44355</v>
      </c>
      <c r="H40">
        <v>2021</v>
      </c>
      <c r="I40">
        <v>6</v>
      </c>
      <c r="J40">
        <v>8</v>
      </c>
      <c r="K40">
        <v>0.5</v>
      </c>
      <c r="L40">
        <v>3.9</v>
      </c>
      <c r="M40">
        <v>20.7</v>
      </c>
      <c r="N40">
        <v>9.5</v>
      </c>
      <c r="O40">
        <v>106</v>
      </c>
      <c r="P40">
        <v>7.5</v>
      </c>
      <c r="Q40">
        <v>0.33</v>
      </c>
      <c r="R40">
        <v>22.2</v>
      </c>
      <c r="S40">
        <v>49</v>
      </c>
      <c r="T40">
        <v>350</v>
      </c>
      <c r="U40">
        <v>700</v>
      </c>
      <c r="V40" t="s">
        <v>55</v>
      </c>
      <c r="W40">
        <v>18</v>
      </c>
      <c r="X40" t="s">
        <v>54</v>
      </c>
      <c r="Y40" t="s">
        <v>54</v>
      </c>
      <c r="Z40" t="s">
        <v>54</v>
      </c>
      <c r="AA40">
        <v>5.0999999999999997E-2</v>
      </c>
      <c r="AB40" s="11">
        <f t="shared" si="0"/>
        <v>1.7</v>
      </c>
      <c r="AC40">
        <v>3.5</v>
      </c>
      <c r="AD40">
        <v>6</v>
      </c>
      <c r="AE40">
        <v>4</v>
      </c>
      <c r="AF40">
        <f t="shared" si="1"/>
        <v>1.023989493</v>
      </c>
      <c r="AK40">
        <v>4.2518490999999999E-2</v>
      </c>
      <c r="AL40">
        <v>0.91823263799999999</v>
      </c>
      <c r="AM40">
        <v>9.2077599999999999E-4</v>
      </c>
      <c r="AO40">
        <v>5.3223494000000003E-2</v>
      </c>
      <c r="AP40">
        <v>6.2988840000000003E-3</v>
      </c>
      <c r="AQ40">
        <v>2.7952099999999998E-3</v>
      </c>
      <c r="AS40">
        <v>5.3223494000000003E-2</v>
      </c>
      <c r="AT40">
        <v>0.91823263799999999</v>
      </c>
      <c r="AU40">
        <v>3.7159860000000001E-3</v>
      </c>
      <c r="AV40">
        <v>4.8780562999999999E-2</v>
      </c>
      <c r="AW40">
        <v>3.6811999999999999E-5</v>
      </c>
      <c r="AX40">
        <v>1.023989493</v>
      </c>
    </row>
    <row r="41" spans="1:50" hidden="1">
      <c r="A41" t="s">
        <v>50</v>
      </c>
      <c r="B41">
        <v>147647</v>
      </c>
      <c r="C41">
        <v>6300430</v>
      </c>
      <c r="D41">
        <v>486800</v>
      </c>
      <c r="E41" t="s">
        <v>51</v>
      </c>
      <c r="F41" t="s">
        <v>52</v>
      </c>
      <c r="G41" s="5">
        <v>44382</v>
      </c>
      <c r="H41">
        <v>2021</v>
      </c>
      <c r="I41">
        <v>7</v>
      </c>
      <c r="J41">
        <v>5</v>
      </c>
      <c r="K41">
        <v>0.5</v>
      </c>
      <c r="L41">
        <v>2.9</v>
      </c>
      <c r="M41">
        <v>22.4</v>
      </c>
      <c r="N41">
        <v>8.8000000000000007</v>
      </c>
      <c r="O41">
        <v>101</v>
      </c>
      <c r="P41">
        <v>7.3</v>
      </c>
      <c r="Q41">
        <v>0.38</v>
      </c>
      <c r="R41">
        <v>22.2</v>
      </c>
      <c r="S41">
        <v>17</v>
      </c>
      <c r="T41" t="s">
        <v>53</v>
      </c>
      <c r="U41">
        <v>510</v>
      </c>
      <c r="V41">
        <v>2.8</v>
      </c>
      <c r="W41">
        <v>30</v>
      </c>
      <c r="X41" t="s">
        <v>54</v>
      </c>
      <c r="Y41" t="s">
        <v>54</v>
      </c>
      <c r="Z41" t="s">
        <v>54</v>
      </c>
      <c r="AA41">
        <v>5.8999999999999997E-2</v>
      </c>
      <c r="AB41" s="11">
        <f t="shared" si="0"/>
        <v>1.9666666666666666</v>
      </c>
      <c r="AC41">
        <v>3.1</v>
      </c>
      <c r="AD41">
        <v>6.4</v>
      </c>
      <c r="AE41">
        <v>16</v>
      </c>
      <c r="AF41">
        <f t="shared" si="1"/>
        <v>3.4572382260000007</v>
      </c>
      <c r="AG41">
        <v>1.76264409</v>
      </c>
      <c r="AH41">
        <v>8.3886773999999997E-2</v>
      </c>
      <c r="AI41">
        <v>3.9121321000000001E-2</v>
      </c>
      <c r="AK41">
        <v>0.25875290899999998</v>
      </c>
      <c r="AL41">
        <v>0.17614639700000001</v>
      </c>
      <c r="AN41">
        <v>0.239758316</v>
      </c>
      <c r="AO41">
        <v>0.82458854999999998</v>
      </c>
      <c r="AP41">
        <v>4.0669959999999998E-3</v>
      </c>
      <c r="AQ41">
        <v>6.8272872999999998E-2</v>
      </c>
      <c r="AR41">
        <v>0.27887963700000001</v>
      </c>
      <c r="AS41">
        <v>0.82458854999999998</v>
      </c>
      <c r="AT41">
        <v>0.17614639700000001</v>
      </c>
      <c r="AU41">
        <v>1.914803737</v>
      </c>
      <c r="AV41">
        <v>0.26808769100000002</v>
      </c>
      <c r="AW41">
        <v>1.88168E-4</v>
      </c>
      <c r="AX41">
        <v>3.4572382260000007</v>
      </c>
    </row>
    <row r="42" spans="1:50" hidden="1">
      <c r="A42" t="s">
        <v>50</v>
      </c>
      <c r="B42">
        <v>147647</v>
      </c>
      <c r="C42">
        <v>6300430</v>
      </c>
      <c r="D42">
        <v>486800</v>
      </c>
      <c r="E42" t="s">
        <v>51</v>
      </c>
      <c r="F42" t="s">
        <v>52</v>
      </c>
      <c r="G42" s="5">
        <v>44421</v>
      </c>
      <c r="H42">
        <v>2021</v>
      </c>
      <c r="I42">
        <v>8</v>
      </c>
      <c r="J42">
        <v>13</v>
      </c>
      <c r="K42">
        <v>0.5</v>
      </c>
      <c r="L42">
        <v>2.7</v>
      </c>
      <c r="M42">
        <v>19.7</v>
      </c>
      <c r="N42">
        <v>8.3000000000000007</v>
      </c>
      <c r="O42">
        <v>90.8</v>
      </c>
      <c r="P42">
        <v>7.3</v>
      </c>
      <c r="Q42">
        <v>0.38</v>
      </c>
      <c r="R42">
        <v>22.1</v>
      </c>
      <c r="S42" t="s">
        <v>53</v>
      </c>
      <c r="T42" t="s">
        <v>53</v>
      </c>
      <c r="U42">
        <v>530</v>
      </c>
      <c r="V42" t="s">
        <v>55</v>
      </c>
      <c r="W42">
        <v>29</v>
      </c>
      <c r="X42" t="s">
        <v>54</v>
      </c>
      <c r="Y42" t="s">
        <v>54</v>
      </c>
      <c r="Z42" t="s">
        <v>54</v>
      </c>
      <c r="AA42">
        <v>2.4E-2</v>
      </c>
      <c r="AB42" s="11">
        <f t="shared" si="0"/>
        <v>0.8</v>
      </c>
      <c r="AC42">
        <v>2.4</v>
      </c>
      <c r="AD42">
        <v>6.9</v>
      </c>
      <c r="AE42">
        <v>11</v>
      </c>
      <c r="AF42">
        <f t="shared" si="1"/>
        <v>1.0927727469999999</v>
      </c>
      <c r="AG42">
        <v>8.8650333999999997E-2</v>
      </c>
      <c r="AH42">
        <v>1.7295073000000001E-2</v>
      </c>
      <c r="AJ42">
        <v>1.2791934E-2</v>
      </c>
      <c r="AK42">
        <v>0.12605032099999999</v>
      </c>
      <c r="AL42">
        <v>0.16542333000000001</v>
      </c>
      <c r="AM42">
        <v>0.119603204</v>
      </c>
      <c r="AN42">
        <v>0.23298429600000001</v>
      </c>
      <c r="AO42">
        <v>0.30651565200000003</v>
      </c>
      <c r="AP42">
        <v>7.38852E-3</v>
      </c>
      <c r="AQ42">
        <v>1.6070082999999999E-2</v>
      </c>
      <c r="AR42">
        <v>0.23298429600000001</v>
      </c>
      <c r="AS42">
        <v>0.30651565200000003</v>
      </c>
      <c r="AT42">
        <v>0.16542333000000001</v>
      </c>
      <c r="AU42">
        <v>0.24161869399999999</v>
      </c>
      <c r="AV42">
        <v>0.17882088700000001</v>
      </c>
      <c r="AW42">
        <v>1.4283477999999999E-2</v>
      </c>
      <c r="AX42">
        <v>1.0927727469999999</v>
      </c>
    </row>
    <row r="43" spans="1:50" hidden="1">
      <c r="A43" t="s">
        <v>50</v>
      </c>
      <c r="B43">
        <v>147647</v>
      </c>
      <c r="C43">
        <v>6300430</v>
      </c>
      <c r="D43">
        <v>486800</v>
      </c>
      <c r="E43" t="s">
        <v>51</v>
      </c>
      <c r="F43" t="s">
        <v>52</v>
      </c>
      <c r="G43" s="5">
        <v>44454</v>
      </c>
      <c r="H43">
        <v>2021</v>
      </c>
      <c r="I43">
        <v>9</v>
      </c>
      <c r="J43">
        <v>15</v>
      </c>
      <c r="K43">
        <v>0.5</v>
      </c>
      <c r="L43">
        <v>3.6</v>
      </c>
      <c r="M43">
        <v>17.600000000000001</v>
      </c>
      <c r="N43">
        <v>9</v>
      </c>
      <c r="O43">
        <v>94.4</v>
      </c>
      <c r="P43">
        <v>7.5</v>
      </c>
      <c r="Q43">
        <v>0.41</v>
      </c>
      <c r="R43">
        <v>21.9</v>
      </c>
      <c r="S43" t="s">
        <v>53</v>
      </c>
      <c r="T43" t="s">
        <v>53</v>
      </c>
      <c r="U43">
        <v>530</v>
      </c>
      <c r="V43" t="s">
        <v>55</v>
      </c>
      <c r="W43">
        <v>22</v>
      </c>
      <c r="X43" t="s">
        <v>54</v>
      </c>
      <c r="Y43" t="s">
        <v>54</v>
      </c>
      <c r="Z43" t="s">
        <v>54</v>
      </c>
      <c r="AA43">
        <v>2.7E-2</v>
      </c>
      <c r="AB43" s="11">
        <f t="shared" si="0"/>
        <v>0.9</v>
      </c>
      <c r="AC43">
        <v>0.59</v>
      </c>
      <c r="AD43">
        <v>6.8</v>
      </c>
      <c r="AE43">
        <v>9.9</v>
      </c>
      <c r="AF43">
        <f t="shared" si="1"/>
        <v>1.8955456150000001</v>
      </c>
      <c r="AG43">
        <v>0.18244344500000001</v>
      </c>
      <c r="AH43">
        <v>0.34459587699999999</v>
      </c>
      <c r="AI43">
        <v>0.170773068</v>
      </c>
      <c r="AK43">
        <v>0.12582396600000001</v>
      </c>
      <c r="AL43">
        <v>4.0425337999999998E-2</v>
      </c>
      <c r="AN43">
        <v>0.78599487099999998</v>
      </c>
      <c r="AO43">
        <v>0.14211811799999999</v>
      </c>
      <c r="AP43">
        <v>5.4613329999999996E-3</v>
      </c>
      <c r="AQ43">
        <v>9.7909599E-2</v>
      </c>
      <c r="AR43">
        <v>0.95676793900000001</v>
      </c>
      <c r="AS43">
        <v>0.14211811799999999</v>
      </c>
      <c r="AT43">
        <v>4.0425337999999998E-2</v>
      </c>
      <c r="AU43">
        <v>0.62494892099999999</v>
      </c>
      <c r="AV43">
        <v>0.17255952999999999</v>
      </c>
      <c r="AW43">
        <v>2.5414336999999999E-2</v>
      </c>
      <c r="AX43">
        <v>1.8955456150000001</v>
      </c>
    </row>
    <row r="44" spans="1:50" hidden="1">
      <c r="A44" t="s">
        <v>50</v>
      </c>
      <c r="B44">
        <v>147647</v>
      </c>
      <c r="C44">
        <v>6300430</v>
      </c>
      <c r="D44">
        <v>486800</v>
      </c>
      <c r="E44" t="s">
        <v>51</v>
      </c>
      <c r="F44" t="s">
        <v>52</v>
      </c>
      <c r="G44" s="5">
        <v>44476</v>
      </c>
      <c r="H44">
        <v>2021</v>
      </c>
      <c r="I44">
        <v>10</v>
      </c>
      <c r="J44">
        <v>7</v>
      </c>
      <c r="K44">
        <v>0.5</v>
      </c>
      <c r="L44">
        <v>5.6</v>
      </c>
      <c r="M44">
        <v>12.4</v>
      </c>
      <c r="N44">
        <v>9.6999999999999993</v>
      </c>
      <c r="O44">
        <v>90.8</v>
      </c>
      <c r="P44">
        <v>7.4</v>
      </c>
      <c r="Q44">
        <v>0.39</v>
      </c>
      <c r="R44">
        <v>21.3</v>
      </c>
      <c r="S44">
        <v>38</v>
      </c>
      <c r="T44">
        <v>24</v>
      </c>
      <c r="U44">
        <v>450</v>
      </c>
      <c r="V44">
        <v>6.6</v>
      </c>
      <c r="W44">
        <v>23</v>
      </c>
      <c r="X44" t="s">
        <v>54</v>
      </c>
      <c r="Y44" t="s">
        <v>54</v>
      </c>
      <c r="Z44" t="s">
        <v>54</v>
      </c>
      <c r="AA44">
        <v>2.3E-2</v>
      </c>
      <c r="AB44" s="11">
        <f t="shared" si="0"/>
        <v>0.76666666666666672</v>
      </c>
      <c r="AC44">
        <v>0.92</v>
      </c>
      <c r="AD44">
        <v>6.3</v>
      </c>
      <c r="AE44">
        <v>4.5999999999999996</v>
      </c>
      <c r="AF44">
        <f t="shared" si="1"/>
        <v>1.194427919</v>
      </c>
      <c r="AG44">
        <v>3.7482197000000002E-2</v>
      </c>
      <c r="AH44">
        <v>0.33050133900000001</v>
      </c>
      <c r="AI44">
        <v>4.3425790000000001E-3</v>
      </c>
      <c r="AK44">
        <v>9.7091965000000002E-2</v>
      </c>
      <c r="AL44">
        <v>8.1370507999999994E-2</v>
      </c>
      <c r="AN44">
        <v>0.36613051000000002</v>
      </c>
      <c r="AO44">
        <v>0.26689867</v>
      </c>
      <c r="AP44">
        <v>7.2889590000000002E-3</v>
      </c>
      <c r="AQ44">
        <v>3.3211920000000002E-3</v>
      </c>
      <c r="AR44">
        <v>0.37047308899999998</v>
      </c>
      <c r="AS44">
        <v>0.26689867</v>
      </c>
      <c r="AT44">
        <v>8.1370507999999994E-2</v>
      </c>
      <c r="AU44">
        <v>0.37130472799999997</v>
      </c>
      <c r="AV44">
        <v>0.10669131799999999</v>
      </c>
      <c r="AW44">
        <v>0</v>
      </c>
      <c r="AX44">
        <v>1.194427919</v>
      </c>
    </row>
    <row r="45" spans="1:50" hidden="1">
      <c r="A45" t="s">
        <v>50</v>
      </c>
      <c r="B45">
        <v>147647</v>
      </c>
      <c r="C45">
        <v>6300430</v>
      </c>
      <c r="D45">
        <v>486800</v>
      </c>
      <c r="E45" t="s">
        <v>51</v>
      </c>
      <c r="F45" t="s">
        <v>52</v>
      </c>
      <c r="G45" s="5">
        <v>44685</v>
      </c>
      <c r="H45">
        <v>2022</v>
      </c>
      <c r="I45">
        <v>5</v>
      </c>
      <c r="J45">
        <v>4</v>
      </c>
      <c r="K45">
        <v>0.5</v>
      </c>
      <c r="L45">
        <v>2.5</v>
      </c>
      <c r="M45">
        <v>12.8</v>
      </c>
      <c r="N45">
        <v>10.5</v>
      </c>
      <c r="O45">
        <v>99.2</v>
      </c>
      <c r="P45">
        <v>7.4</v>
      </c>
      <c r="Q45">
        <v>0.43</v>
      </c>
      <c r="R45">
        <v>19.600000000000001</v>
      </c>
      <c r="S45" t="s">
        <v>53</v>
      </c>
      <c r="T45" t="s">
        <v>53</v>
      </c>
      <c r="U45">
        <v>400</v>
      </c>
      <c r="V45" t="s">
        <v>55</v>
      </c>
      <c r="W45">
        <v>21</v>
      </c>
      <c r="X45" t="s">
        <v>54</v>
      </c>
      <c r="Y45" t="s">
        <v>54</v>
      </c>
      <c r="Z45" t="s">
        <v>54</v>
      </c>
      <c r="AA45">
        <v>5.6000000000000001E-2</v>
      </c>
      <c r="AB45" s="11">
        <f t="shared" si="0"/>
        <v>1.8666666666666667</v>
      </c>
      <c r="AC45">
        <v>2</v>
      </c>
      <c r="AD45">
        <v>6.7</v>
      </c>
      <c r="AE45">
        <v>6.8</v>
      </c>
      <c r="AF45">
        <f t="shared" si="1"/>
        <v>1.0571253380000001</v>
      </c>
      <c r="AG45">
        <v>0.36476996499999997</v>
      </c>
      <c r="AH45">
        <v>5.8090377999999998E-2</v>
      </c>
      <c r="AK45">
        <v>6.0538115000000003E-2</v>
      </c>
      <c r="AL45">
        <v>0.253964725</v>
      </c>
      <c r="AM45">
        <v>1.3226996E-2</v>
      </c>
      <c r="AN45">
        <v>8.3215941000000002E-2</v>
      </c>
      <c r="AO45">
        <v>7.6053792999999995E-2</v>
      </c>
      <c r="AP45">
        <v>5.5129350000000001E-3</v>
      </c>
      <c r="AQ45">
        <v>0.14175249000000001</v>
      </c>
      <c r="AR45">
        <v>8.3215941000000002E-2</v>
      </c>
      <c r="AS45">
        <v>7.6053792999999995E-2</v>
      </c>
      <c r="AT45">
        <v>0.253964725</v>
      </c>
      <c r="AU45">
        <v>0.57783982899999997</v>
      </c>
      <c r="AV45">
        <v>7.0971832999999998E-2</v>
      </c>
      <c r="AW45">
        <v>2.1468253999999999E-2</v>
      </c>
      <c r="AX45">
        <v>1.0571253380000001</v>
      </c>
    </row>
    <row r="46" spans="1:50" hidden="1">
      <c r="A46" t="s">
        <v>50</v>
      </c>
      <c r="B46">
        <v>147647</v>
      </c>
      <c r="C46">
        <v>6300430</v>
      </c>
      <c r="D46">
        <v>486800</v>
      </c>
      <c r="E46" t="s">
        <v>51</v>
      </c>
      <c r="F46" t="s">
        <v>52</v>
      </c>
      <c r="G46" s="5">
        <v>44714</v>
      </c>
      <c r="H46">
        <v>2022</v>
      </c>
      <c r="I46">
        <v>6</v>
      </c>
      <c r="J46">
        <v>2</v>
      </c>
      <c r="K46">
        <v>0.5</v>
      </c>
      <c r="L46">
        <v>1.8</v>
      </c>
      <c r="M46">
        <v>15.6</v>
      </c>
      <c r="N46">
        <v>10</v>
      </c>
      <c r="O46">
        <v>101</v>
      </c>
      <c r="P46">
        <v>7.8</v>
      </c>
      <c r="Q46">
        <v>0.44</v>
      </c>
      <c r="R46">
        <v>19.600000000000001</v>
      </c>
      <c r="S46">
        <v>48</v>
      </c>
      <c r="T46">
        <v>27</v>
      </c>
      <c r="U46">
        <v>840</v>
      </c>
      <c r="V46" t="s">
        <v>55</v>
      </c>
      <c r="W46">
        <v>18</v>
      </c>
      <c r="X46" t="s">
        <v>54</v>
      </c>
      <c r="Y46" t="s">
        <v>54</v>
      </c>
      <c r="Z46" t="s">
        <v>54</v>
      </c>
      <c r="AA46">
        <v>5.8999999999999997E-2</v>
      </c>
      <c r="AB46" s="11">
        <f t="shared" si="0"/>
        <v>1.9666666666666666</v>
      </c>
      <c r="AC46">
        <v>2.5</v>
      </c>
      <c r="AD46">
        <v>8.1</v>
      </c>
      <c r="AE46">
        <v>9.1999999999999993</v>
      </c>
      <c r="AF46">
        <f t="shared" si="1"/>
        <v>2.1252013759999997</v>
      </c>
      <c r="AG46">
        <v>4.3666899999999999E-4</v>
      </c>
      <c r="AI46">
        <v>2.0027652999999999E-2</v>
      </c>
      <c r="AK46">
        <v>6.8447030000000006E-2</v>
      </c>
      <c r="AL46">
        <v>2.0064465610000002</v>
      </c>
      <c r="AO46">
        <v>2.3321985999999999E-2</v>
      </c>
      <c r="AP46">
        <v>3.993E-3</v>
      </c>
      <c r="AQ46">
        <v>2.5284769999999999E-3</v>
      </c>
      <c r="AR46">
        <v>2.0027652999999999E-2</v>
      </c>
      <c r="AS46">
        <v>2.3321985999999999E-2</v>
      </c>
      <c r="AT46">
        <v>2.0064465610000002</v>
      </c>
      <c r="AU46">
        <v>2.9651460000000001E-3</v>
      </c>
      <c r="AV46">
        <v>7.2440030000000002E-2</v>
      </c>
      <c r="AW46">
        <v>6.4800399999999998E-4</v>
      </c>
      <c r="AX46">
        <v>2.1252013759999997</v>
      </c>
    </row>
    <row r="47" spans="1:50" hidden="1">
      <c r="A47" t="s">
        <v>50</v>
      </c>
      <c r="B47">
        <v>147647</v>
      </c>
      <c r="C47">
        <v>6300430</v>
      </c>
      <c r="D47">
        <v>486800</v>
      </c>
      <c r="E47" t="s">
        <v>51</v>
      </c>
      <c r="F47" t="s">
        <v>52</v>
      </c>
      <c r="G47" s="5">
        <v>44755</v>
      </c>
      <c r="H47">
        <v>2022</v>
      </c>
      <c r="I47">
        <v>7</v>
      </c>
      <c r="J47">
        <v>13</v>
      </c>
      <c r="K47">
        <v>0.5</v>
      </c>
      <c r="L47">
        <v>3</v>
      </c>
      <c r="M47">
        <v>21</v>
      </c>
      <c r="N47">
        <v>9.1</v>
      </c>
      <c r="O47">
        <v>102</v>
      </c>
      <c r="P47">
        <v>7.6</v>
      </c>
      <c r="Q47">
        <v>0.51</v>
      </c>
      <c r="R47">
        <v>20.100000000000001</v>
      </c>
      <c r="S47" t="s">
        <v>53</v>
      </c>
      <c r="T47" t="s">
        <v>53</v>
      </c>
      <c r="U47">
        <v>550</v>
      </c>
      <c r="V47">
        <v>2.7</v>
      </c>
      <c r="W47">
        <v>24</v>
      </c>
      <c r="X47" t="s">
        <v>54</v>
      </c>
      <c r="Y47" t="s">
        <v>54</v>
      </c>
      <c r="Z47" t="s">
        <v>54</v>
      </c>
      <c r="AA47">
        <v>3.5000000000000003E-2</v>
      </c>
      <c r="AB47" s="11">
        <f t="shared" si="0"/>
        <v>1.1666666666666667</v>
      </c>
      <c r="AC47">
        <v>2.8</v>
      </c>
      <c r="AD47">
        <v>7.8</v>
      </c>
      <c r="AE47">
        <v>9.1</v>
      </c>
      <c r="AF47">
        <f t="shared" si="1"/>
        <v>2.4491498090000001</v>
      </c>
      <c r="AG47">
        <v>5.2009780000000002E-3</v>
      </c>
      <c r="AI47">
        <v>0.53271027800000004</v>
      </c>
      <c r="AJ47">
        <v>6.1536819999999997E-3</v>
      </c>
      <c r="AK47">
        <v>0.45758887799999998</v>
      </c>
      <c r="AL47">
        <v>0.35944721899999998</v>
      </c>
      <c r="AM47">
        <v>0.12844053899999999</v>
      </c>
      <c r="AN47">
        <v>0.68569405000000005</v>
      </c>
      <c r="AO47">
        <v>5.9960416000000002E-2</v>
      </c>
      <c r="AP47">
        <v>5.5719303999999997E-2</v>
      </c>
      <c r="AQ47">
        <v>0.15823446499999999</v>
      </c>
      <c r="AR47">
        <v>1.2184043280000001</v>
      </c>
      <c r="AS47">
        <v>5.9960416000000002E-2</v>
      </c>
      <c r="AT47">
        <v>0.35944721899999998</v>
      </c>
      <c r="AU47">
        <v>0.29187598199999998</v>
      </c>
      <c r="AV47">
        <v>0.52522057600000005</v>
      </c>
      <c r="AW47">
        <v>6.2845878999999993E-2</v>
      </c>
      <c r="AX47">
        <v>2.4491498090000001</v>
      </c>
    </row>
    <row r="48" spans="1:50" hidden="1">
      <c r="A48" t="s">
        <v>50</v>
      </c>
      <c r="B48">
        <v>147647</v>
      </c>
      <c r="C48">
        <v>6300430</v>
      </c>
      <c r="D48">
        <v>486800</v>
      </c>
      <c r="E48" t="s">
        <v>51</v>
      </c>
      <c r="F48" t="s">
        <v>52</v>
      </c>
      <c r="G48" s="5">
        <v>44783</v>
      </c>
      <c r="H48">
        <v>2022</v>
      </c>
      <c r="I48">
        <v>8</v>
      </c>
      <c r="J48">
        <v>10</v>
      </c>
      <c r="K48">
        <v>0.5</v>
      </c>
      <c r="L48">
        <v>4</v>
      </c>
      <c r="M48">
        <v>20</v>
      </c>
      <c r="N48">
        <v>11.1</v>
      </c>
      <c r="O48">
        <v>122</v>
      </c>
      <c r="P48">
        <v>8.6999999999999993</v>
      </c>
      <c r="Q48">
        <v>0.52</v>
      </c>
      <c r="R48">
        <v>20.100000000000001</v>
      </c>
      <c r="S48" t="s">
        <v>53</v>
      </c>
      <c r="T48">
        <v>120</v>
      </c>
      <c r="U48">
        <v>650</v>
      </c>
      <c r="V48">
        <v>3.9</v>
      </c>
      <c r="W48">
        <v>36</v>
      </c>
      <c r="X48" t="s">
        <v>54</v>
      </c>
      <c r="Y48" t="s">
        <v>54</v>
      </c>
      <c r="Z48" t="s">
        <v>54</v>
      </c>
      <c r="AA48">
        <v>0.14000000000000001</v>
      </c>
      <c r="AB48" s="11">
        <f t="shared" si="0"/>
        <v>4.666666666666667</v>
      </c>
      <c r="AC48">
        <v>4</v>
      </c>
      <c r="AD48">
        <v>7.8</v>
      </c>
      <c r="AE48">
        <v>25</v>
      </c>
      <c r="AF48">
        <f t="shared" si="1"/>
        <v>3.8262574389999999</v>
      </c>
      <c r="AG48">
        <v>4.0490482000000001E-2</v>
      </c>
      <c r="AH48">
        <v>2.2428933000000002E-2</v>
      </c>
      <c r="AI48">
        <v>8.6190180000000005E-2</v>
      </c>
      <c r="AJ48">
        <v>1.1917271E-2</v>
      </c>
      <c r="AK48">
        <v>0.38944890900000001</v>
      </c>
      <c r="AL48">
        <v>2.4352716669999999</v>
      </c>
      <c r="AM48">
        <v>8.3066029999999999E-2</v>
      </c>
      <c r="AN48">
        <v>0.50285539400000001</v>
      </c>
      <c r="AO48">
        <v>0.16699853000000001</v>
      </c>
      <c r="AP48">
        <v>5.0053958000000003E-2</v>
      </c>
      <c r="AQ48">
        <v>3.7536084999999997E-2</v>
      </c>
      <c r="AR48">
        <v>0.58904557400000002</v>
      </c>
      <c r="AS48">
        <v>0.16699853000000001</v>
      </c>
      <c r="AT48">
        <v>2.4352716669999999</v>
      </c>
      <c r="AU48">
        <v>0.18352152999999999</v>
      </c>
      <c r="AV48">
        <v>0.45852164299999998</v>
      </c>
      <c r="AW48">
        <v>5.4625589000000002E-2</v>
      </c>
      <c r="AX48">
        <v>3.8262574389999999</v>
      </c>
    </row>
    <row r="49" spans="1:50" hidden="1">
      <c r="A49" t="s">
        <v>50</v>
      </c>
      <c r="B49">
        <v>147647</v>
      </c>
      <c r="C49">
        <v>6300430</v>
      </c>
      <c r="D49">
        <v>486800</v>
      </c>
      <c r="E49" t="s">
        <v>51</v>
      </c>
      <c r="F49" t="s">
        <v>52</v>
      </c>
      <c r="G49" s="5">
        <v>44806</v>
      </c>
      <c r="H49">
        <v>2022</v>
      </c>
      <c r="I49">
        <v>9</v>
      </c>
      <c r="J49">
        <v>2</v>
      </c>
      <c r="K49">
        <v>0.5</v>
      </c>
      <c r="L49">
        <v>1.9</v>
      </c>
      <c r="M49">
        <v>18.399999999999999</v>
      </c>
      <c r="N49">
        <v>8.5</v>
      </c>
      <c r="O49">
        <v>90.6</v>
      </c>
      <c r="P49">
        <v>7.6</v>
      </c>
      <c r="Q49">
        <v>0.54</v>
      </c>
      <c r="R49">
        <v>20.9</v>
      </c>
      <c r="S49">
        <v>18</v>
      </c>
      <c r="T49" t="s">
        <v>53</v>
      </c>
      <c r="U49">
        <v>670</v>
      </c>
      <c r="V49" t="s">
        <v>55</v>
      </c>
      <c r="W49">
        <v>35</v>
      </c>
      <c r="X49" t="s">
        <v>54</v>
      </c>
      <c r="Y49" t="s">
        <v>54</v>
      </c>
      <c r="Z49" t="s">
        <v>54</v>
      </c>
      <c r="AA49">
        <v>0.04</v>
      </c>
      <c r="AB49" s="11">
        <f t="shared" si="0"/>
        <v>1.3333333333333335</v>
      </c>
      <c r="AC49">
        <v>3.7</v>
      </c>
      <c r="AD49">
        <v>7.6</v>
      </c>
      <c r="AE49">
        <v>25</v>
      </c>
      <c r="AF49">
        <f t="shared" si="1"/>
        <v>3.2731082110000003</v>
      </c>
      <c r="AG49">
        <v>1.455631E-3</v>
      </c>
      <c r="AI49">
        <v>0.13699513899999999</v>
      </c>
      <c r="AK49">
        <v>0.60199776999999999</v>
      </c>
      <c r="AL49">
        <v>1.011990647</v>
      </c>
      <c r="AM49">
        <v>5.3049414000000003E-2</v>
      </c>
      <c r="AN49">
        <v>0.92912951700000002</v>
      </c>
      <c r="AO49">
        <v>0.24836650499999999</v>
      </c>
      <c r="AP49">
        <v>0.14150396000000001</v>
      </c>
      <c r="AQ49">
        <v>0.148619628</v>
      </c>
      <c r="AR49">
        <v>1.0661246559999999</v>
      </c>
      <c r="AS49">
        <v>0.24836650499999999</v>
      </c>
      <c r="AT49">
        <v>1.011990647</v>
      </c>
      <c r="AU49">
        <v>0.20312467300000001</v>
      </c>
      <c r="AV49">
        <v>0.76722948899999999</v>
      </c>
      <c r="AW49">
        <v>3.6118140999999999E-2</v>
      </c>
      <c r="AX49">
        <v>3.2731082110000003</v>
      </c>
    </row>
    <row r="50" spans="1:50" hidden="1">
      <c r="A50" t="s">
        <v>50</v>
      </c>
      <c r="B50">
        <v>147647</v>
      </c>
      <c r="C50">
        <v>6300430</v>
      </c>
      <c r="D50">
        <v>486800</v>
      </c>
      <c r="E50" t="s">
        <v>51</v>
      </c>
      <c r="F50" t="s">
        <v>52</v>
      </c>
      <c r="G50" s="5">
        <v>44839</v>
      </c>
      <c r="H50">
        <v>2022</v>
      </c>
      <c r="I50">
        <v>10</v>
      </c>
      <c r="J50">
        <v>5</v>
      </c>
      <c r="K50">
        <v>0.5</v>
      </c>
      <c r="L50">
        <v>3.4</v>
      </c>
      <c r="M50">
        <v>12</v>
      </c>
      <c r="N50">
        <v>9.5</v>
      </c>
      <c r="O50">
        <v>88.2</v>
      </c>
      <c r="P50">
        <v>7.4</v>
      </c>
      <c r="Q50">
        <v>0.49</v>
      </c>
      <c r="R50">
        <v>19.399999999999999</v>
      </c>
      <c r="S50">
        <v>32</v>
      </c>
      <c r="T50">
        <v>39</v>
      </c>
      <c r="U50">
        <v>520</v>
      </c>
      <c r="V50">
        <v>3.5</v>
      </c>
      <c r="W50">
        <v>36</v>
      </c>
      <c r="X50" t="s">
        <v>54</v>
      </c>
      <c r="Y50" t="s">
        <v>54</v>
      </c>
      <c r="Z50" t="s">
        <v>54</v>
      </c>
      <c r="AA50">
        <v>2.8000000000000001E-2</v>
      </c>
      <c r="AB50" s="11">
        <f t="shared" si="0"/>
        <v>0.93333333333333335</v>
      </c>
      <c r="AC50">
        <v>1.8</v>
      </c>
      <c r="AD50">
        <v>6.5</v>
      </c>
      <c r="AE50">
        <v>6.2</v>
      </c>
      <c r="AF50">
        <f t="shared" si="1"/>
        <v>0.73785767810000014</v>
      </c>
      <c r="AG50">
        <v>2.0225488E-2</v>
      </c>
      <c r="AH50">
        <v>2.2275401000000001E-3</v>
      </c>
      <c r="AI50">
        <v>7.06764E-3</v>
      </c>
      <c r="AJ50">
        <v>3.3240408999999999E-2</v>
      </c>
      <c r="AK50">
        <v>0.11090111599999999</v>
      </c>
      <c r="AL50">
        <v>3.0912287E-2</v>
      </c>
      <c r="AM50">
        <v>5.9774169999999996E-3</v>
      </c>
      <c r="AN50">
        <v>5.8379669000000002E-2</v>
      </c>
      <c r="AO50">
        <v>0.412251431</v>
      </c>
      <c r="AP50">
        <v>2.2875355E-2</v>
      </c>
      <c r="AQ50">
        <v>3.3799325999999998E-2</v>
      </c>
      <c r="AR50">
        <v>6.5447308999999995E-2</v>
      </c>
      <c r="AS50">
        <v>0.412251431</v>
      </c>
      <c r="AT50">
        <v>3.0912287E-2</v>
      </c>
      <c r="AU50">
        <v>6.2229771099999998E-2</v>
      </c>
      <c r="AV50">
        <v>0.16701688000000001</v>
      </c>
      <c r="AW50">
        <v>1.1492731000000001E-2</v>
      </c>
      <c r="AX50">
        <v>0.73785767810000014</v>
      </c>
    </row>
    <row r="51" spans="1:50" hidden="1">
      <c r="A51" t="s">
        <v>50</v>
      </c>
      <c r="B51">
        <v>147647</v>
      </c>
      <c r="C51">
        <v>6300430</v>
      </c>
      <c r="D51">
        <v>486800</v>
      </c>
      <c r="E51" t="s">
        <v>51</v>
      </c>
      <c r="F51" t="s">
        <v>52</v>
      </c>
      <c r="G51" s="5">
        <v>45051</v>
      </c>
      <c r="H51">
        <v>2023</v>
      </c>
      <c r="I51">
        <v>5</v>
      </c>
      <c r="J51">
        <v>5</v>
      </c>
      <c r="K51">
        <v>0.5</v>
      </c>
      <c r="L51">
        <v>3.8</v>
      </c>
      <c r="M51">
        <v>10.4</v>
      </c>
      <c r="N51">
        <v>10.6</v>
      </c>
      <c r="O51">
        <v>94.8</v>
      </c>
      <c r="P51">
        <v>7.4</v>
      </c>
      <c r="Q51">
        <v>0.46</v>
      </c>
      <c r="R51">
        <v>19.899999999999999</v>
      </c>
      <c r="S51">
        <v>22</v>
      </c>
      <c r="T51" t="s">
        <v>53</v>
      </c>
      <c r="U51">
        <v>530</v>
      </c>
      <c r="V51" t="s">
        <v>55</v>
      </c>
      <c r="W51">
        <v>23</v>
      </c>
      <c r="X51" t="s">
        <v>54</v>
      </c>
      <c r="Y51" t="s">
        <v>54</v>
      </c>
      <c r="Z51" t="s">
        <v>54</v>
      </c>
      <c r="AA51">
        <v>4.5999999999999999E-2</v>
      </c>
      <c r="AB51" s="11">
        <f t="shared" si="0"/>
        <v>1.5333333333333334</v>
      </c>
      <c r="AC51">
        <v>1.6</v>
      </c>
      <c r="AD51">
        <v>7.5</v>
      </c>
      <c r="AE51">
        <v>3.5</v>
      </c>
      <c r="AF51">
        <f t="shared" si="1"/>
        <v>0.80843721709999983</v>
      </c>
      <c r="AG51">
        <v>0.31496317099999999</v>
      </c>
      <c r="AH51">
        <v>2.4246805E-2</v>
      </c>
      <c r="AI51">
        <v>2.2014723999999999E-2</v>
      </c>
      <c r="AK51">
        <v>1.81702272E-2</v>
      </c>
      <c r="AL51">
        <v>4.0449696899999998E-2</v>
      </c>
      <c r="AM51">
        <v>9.0596240000000005E-3</v>
      </c>
      <c r="AN51">
        <v>5.7026827000000002E-2</v>
      </c>
      <c r="AO51">
        <v>0.27909186200000002</v>
      </c>
      <c r="AP51">
        <v>3.3600140000000001E-3</v>
      </c>
      <c r="AQ51">
        <v>4.0054265999999998E-2</v>
      </c>
      <c r="AR51">
        <v>7.9041551000000002E-2</v>
      </c>
      <c r="AS51">
        <v>0.27909186200000002</v>
      </c>
      <c r="AT51">
        <v>4.0449696899999998E-2</v>
      </c>
      <c r="AU51">
        <v>0.38832386600000002</v>
      </c>
      <c r="AV51">
        <v>4.0813855000000003E-2</v>
      </c>
      <c r="AW51">
        <v>9.8966881999999999E-3</v>
      </c>
      <c r="AX51">
        <v>0.80843721709999983</v>
      </c>
    </row>
    <row r="52" spans="1:50" hidden="1">
      <c r="A52" t="s">
        <v>50</v>
      </c>
      <c r="B52">
        <v>147647</v>
      </c>
      <c r="C52">
        <v>6300430</v>
      </c>
      <c r="D52">
        <v>486800</v>
      </c>
      <c r="E52" t="s">
        <v>51</v>
      </c>
      <c r="F52" t="s">
        <v>52</v>
      </c>
      <c r="G52" s="5">
        <v>45086</v>
      </c>
      <c r="H52">
        <v>2023</v>
      </c>
      <c r="I52">
        <v>6</v>
      </c>
      <c r="J52">
        <v>9</v>
      </c>
      <c r="K52">
        <v>0.5</v>
      </c>
      <c r="L52">
        <v>3.1</v>
      </c>
      <c r="M52">
        <v>20.2</v>
      </c>
      <c r="N52">
        <v>9.5</v>
      </c>
      <c r="O52">
        <v>105</v>
      </c>
      <c r="P52">
        <v>7.9</v>
      </c>
      <c r="Q52">
        <v>0.56999999999999995</v>
      </c>
      <c r="R52">
        <v>20.5</v>
      </c>
      <c r="S52">
        <v>27</v>
      </c>
      <c r="T52" t="s">
        <v>53</v>
      </c>
      <c r="U52">
        <v>540</v>
      </c>
      <c r="V52" t="s">
        <v>55</v>
      </c>
      <c r="W52">
        <v>19</v>
      </c>
      <c r="X52" t="s">
        <v>54</v>
      </c>
      <c r="Y52" t="s">
        <v>54</v>
      </c>
      <c r="Z52" t="s">
        <v>54</v>
      </c>
      <c r="AA52">
        <v>3.9E-2</v>
      </c>
      <c r="AB52" s="11">
        <f t="shared" si="0"/>
        <v>1.3</v>
      </c>
      <c r="AC52">
        <v>1.5</v>
      </c>
      <c r="AD52">
        <v>7.6</v>
      </c>
      <c r="AE52">
        <v>4.7</v>
      </c>
      <c r="AF52">
        <f t="shared" si="1"/>
        <v>2.4458368479999999</v>
      </c>
      <c r="AG52">
        <v>1.1896309000000001E-2</v>
      </c>
      <c r="AI52">
        <v>0.58830430499999997</v>
      </c>
      <c r="AK52">
        <v>0.14668070699999999</v>
      </c>
      <c r="AL52">
        <v>1.4083307549999999</v>
      </c>
      <c r="AM52">
        <v>8.2411799999999999E-4</v>
      </c>
      <c r="AN52">
        <v>3.1136525000000002E-2</v>
      </c>
      <c r="AO52">
        <v>0.20694298799999999</v>
      </c>
      <c r="AP52">
        <v>6.4718789999999998E-3</v>
      </c>
      <c r="AQ52">
        <v>4.5249261999999998E-2</v>
      </c>
      <c r="AR52">
        <v>0.61944083000000005</v>
      </c>
      <c r="AS52">
        <v>0.20694298799999999</v>
      </c>
      <c r="AT52">
        <v>1.4083307549999999</v>
      </c>
      <c r="AU52">
        <v>5.7969688999999998E-2</v>
      </c>
      <c r="AV52">
        <v>0.15322886499999999</v>
      </c>
      <c r="AW52">
        <v>1.1425850000000001E-2</v>
      </c>
      <c r="AX52">
        <v>2.4458684800000001</v>
      </c>
    </row>
    <row r="53" spans="1:50" hidden="1">
      <c r="A53" t="s">
        <v>50</v>
      </c>
      <c r="B53">
        <v>147647</v>
      </c>
      <c r="C53">
        <v>6300430</v>
      </c>
      <c r="D53">
        <v>486800</v>
      </c>
      <c r="E53" t="s">
        <v>51</v>
      </c>
      <c r="F53" t="s">
        <v>52</v>
      </c>
      <c r="G53" s="5">
        <v>45114</v>
      </c>
      <c r="H53">
        <v>2023</v>
      </c>
      <c r="I53">
        <v>7</v>
      </c>
      <c r="J53">
        <v>7</v>
      </c>
      <c r="K53">
        <v>0.5</v>
      </c>
      <c r="L53">
        <v>3.3</v>
      </c>
      <c r="M53">
        <v>17.5</v>
      </c>
      <c r="N53">
        <v>9.3000000000000007</v>
      </c>
      <c r="O53">
        <v>97.4</v>
      </c>
      <c r="P53">
        <v>7.6</v>
      </c>
      <c r="Q53">
        <v>0.51</v>
      </c>
      <c r="R53">
        <v>22.2</v>
      </c>
      <c r="S53" t="s">
        <v>53</v>
      </c>
      <c r="T53" t="s">
        <v>53</v>
      </c>
      <c r="U53">
        <v>450</v>
      </c>
      <c r="V53" t="s">
        <v>55</v>
      </c>
      <c r="W53">
        <v>20</v>
      </c>
      <c r="X53" t="s">
        <v>54</v>
      </c>
      <c r="Y53" t="s">
        <v>54</v>
      </c>
      <c r="Z53" t="s">
        <v>54</v>
      </c>
      <c r="AA53">
        <v>7.0999999999999994E-2</v>
      </c>
      <c r="AB53" s="11">
        <f t="shared" si="0"/>
        <v>2.3666666666666667</v>
      </c>
      <c r="AC53">
        <v>2.7</v>
      </c>
      <c r="AD53">
        <v>6.3</v>
      </c>
      <c r="AE53">
        <v>12</v>
      </c>
      <c r="AF53">
        <f t="shared" si="1"/>
        <v>1.1116419139999998</v>
      </c>
      <c r="AG53">
        <v>0.358774804</v>
      </c>
      <c r="AI53">
        <v>0.127015508</v>
      </c>
      <c r="AK53">
        <v>5.9070694E-2</v>
      </c>
      <c r="AL53">
        <v>0.15403666599999999</v>
      </c>
      <c r="AM53">
        <v>0.13648352</v>
      </c>
      <c r="AN53">
        <v>0.18670672199999999</v>
      </c>
      <c r="AO53">
        <v>4.0474061999999998E-2</v>
      </c>
      <c r="AP53">
        <v>3.6564654000000002E-2</v>
      </c>
      <c r="AQ53">
        <v>1.2515284E-2</v>
      </c>
      <c r="AR53">
        <v>0.31372222999999999</v>
      </c>
      <c r="AS53">
        <v>4.0474061999999998E-2</v>
      </c>
      <c r="AT53">
        <v>0.15403666599999999</v>
      </c>
      <c r="AU53">
        <v>0.50777360800000004</v>
      </c>
      <c r="AV53">
        <v>0.11674673100000001</v>
      </c>
      <c r="AW53">
        <v>2.2893791E-2</v>
      </c>
      <c r="AX53">
        <v>1.1116419139999998</v>
      </c>
    </row>
    <row r="54" spans="1:50" hidden="1">
      <c r="A54" t="s">
        <v>50</v>
      </c>
      <c r="B54">
        <v>147647</v>
      </c>
      <c r="C54">
        <v>6300430</v>
      </c>
      <c r="D54">
        <v>486800</v>
      </c>
      <c r="E54" t="s">
        <v>51</v>
      </c>
      <c r="F54" t="s">
        <v>52</v>
      </c>
      <c r="G54" s="5">
        <v>45147</v>
      </c>
      <c r="H54">
        <v>2023</v>
      </c>
      <c r="I54">
        <v>8</v>
      </c>
      <c r="J54">
        <v>9</v>
      </c>
      <c r="K54">
        <v>0.5</v>
      </c>
      <c r="L54">
        <v>1.3</v>
      </c>
      <c r="M54">
        <v>16.7</v>
      </c>
      <c r="N54">
        <v>9.8000000000000007</v>
      </c>
      <c r="O54">
        <v>101</v>
      </c>
      <c r="P54">
        <v>9.4</v>
      </c>
      <c r="Q54">
        <v>0.49</v>
      </c>
      <c r="R54">
        <v>21.8</v>
      </c>
      <c r="S54" t="s">
        <v>53</v>
      </c>
      <c r="T54" t="s">
        <v>53</v>
      </c>
      <c r="U54">
        <v>610</v>
      </c>
      <c r="V54">
        <v>3.9</v>
      </c>
      <c r="W54">
        <v>45</v>
      </c>
      <c r="X54" t="s">
        <v>54</v>
      </c>
      <c r="Y54" t="s">
        <v>54</v>
      </c>
      <c r="Z54" t="s">
        <v>54</v>
      </c>
      <c r="AA54">
        <v>3.1E-2</v>
      </c>
      <c r="AB54" s="11">
        <f t="shared" si="0"/>
        <v>1.0333333333333334</v>
      </c>
      <c r="AC54">
        <v>35</v>
      </c>
      <c r="AD54">
        <v>6.6</v>
      </c>
      <c r="AE54">
        <v>77</v>
      </c>
      <c r="AF54">
        <f t="shared" si="1"/>
        <v>8.8087272649999981</v>
      </c>
      <c r="AI54">
        <v>8.5754840999999998E-2</v>
      </c>
      <c r="AK54">
        <v>0.300217081</v>
      </c>
      <c r="AL54">
        <v>7.988423439</v>
      </c>
      <c r="AM54">
        <v>6.4654580000000003E-3</v>
      </c>
      <c r="AN54">
        <v>0.101232984</v>
      </c>
      <c r="AO54">
        <v>0.27182907699999997</v>
      </c>
      <c r="AP54">
        <v>1.524222E-3</v>
      </c>
      <c r="AQ54">
        <v>5.3280162999999998E-2</v>
      </c>
      <c r="AR54">
        <v>0.186987825</v>
      </c>
      <c r="AS54">
        <v>0.27182907699999997</v>
      </c>
      <c r="AT54">
        <v>7.988423439</v>
      </c>
      <c r="AU54">
        <v>5.9745620999999999E-2</v>
      </c>
      <c r="AV54">
        <v>0.30174130300000002</v>
      </c>
      <c r="AW54">
        <v>1.0536302000000001E-2</v>
      </c>
      <c r="AX54">
        <v>8.8087272649999981</v>
      </c>
    </row>
    <row r="55" spans="1:50" hidden="1">
      <c r="A55" t="s">
        <v>50</v>
      </c>
      <c r="B55">
        <v>147647</v>
      </c>
      <c r="C55">
        <v>6300430</v>
      </c>
      <c r="D55">
        <v>486800</v>
      </c>
      <c r="E55" t="s">
        <v>51</v>
      </c>
      <c r="F55" t="s">
        <v>52</v>
      </c>
      <c r="G55" s="5">
        <v>45183</v>
      </c>
      <c r="H55">
        <v>2023</v>
      </c>
      <c r="I55">
        <v>9</v>
      </c>
      <c r="J55">
        <v>14</v>
      </c>
      <c r="K55">
        <v>0.5</v>
      </c>
      <c r="L55">
        <v>3.3</v>
      </c>
      <c r="M55">
        <v>19.100000000000001</v>
      </c>
      <c r="N55">
        <v>9.6</v>
      </c>
      <c r="O55">
        <v>104</v>
      </c>
      <c r="P55">
        <v>7.6</v>
      </c>
      <c r="Q55">
        <v>0.51</v>
      </c>
      <c r="R55">
        <v>22.5</v>
      </c>
      <c r="S55" t="s">
        <v>53</v>
      </c>
      <c r="T55" t="s">
        <v>53</v>
      </c>
      <c r="U55">
        <v>520</v>
      </c>
      <c r="V55" t="s">
        <v>55</v>
      </c>
      <c r="W55">
        <v>17</v>
      </c>
      <c r="X55" t="s">
        <v>54</v>
      </c>
      <c r="Y55" t="s">
        <v>54</v>
      </c>
      <c r="Z55" t="s">
        <v>54</v>
      </c>
      <c r="AA55">
        <v>3.2000000000000001E-2</v>
      </c>
      <c r="AB55" s="11">
        <f t="shared" si="0"/>
        <v>1.0666666666666667</v>
      </c>
      <c r="AC55">
        <v>1.8</v>
      </c>
      <c r="AD55">
        <v>6.3</v>
      </c>
      <c r="AE55">
        <v>9.4</v>
      </c>
    </row>
    <row r="56" spans="1:50" hidden="1">
      <c r="A56" t="s">
        <v>50</v>
      </c>
      <c r="B56">
        <v>147647</v>
      </c>
      <c r="C56">
        <v>6300430</v>
      </c>
      <c r="D56">
        <v>486800</v>
      </c>
      <c r="E56" t="s">
        <v>51</v>
      </c>
      <c r="F56" t="s">
        <v>52</v>
      </c>
      <c r="G56" s="5">
        <v>45203</v>
      </c>
      <c r="H56">
        <v>2023</v>
      </c>
      <c r="I56">
        <v>10</v>
      </c>
      <c r="J56">
        <v>4</v>
      </c>
      <c r="K56">
        <v>0.5</v>
      </c>
      <c r="L56">
        <v>2.6</v>
      </c>
      <c r="M56">
        <v>14.5</v>
      </c>
      <c r="N56">
        <v>9.3000000000000007</v>
      </c>
      <c r="O56">
        <v>91.4</v>
      </c>
      <c r="P56">
        <v>7.4</v>
      </c>
      <c r="Q56">
        <v>0.49</v>
      </c>
      <c r="R56">
        <v>22</v>
      </c>
      <c r="S56">
        <v>30</v>
      </c>
      <c r="T56" t="s">
        <v>53</v>
      </c>
      <c r="U56">
        <v>650</v>
      </c>
      <c r="V56">
        <v>5.8</v>
      </c>
      <c r="W56">
        <v>44</v>
      </c>
      <c r="X56" t="s">
        <v>54</v>
      </c>
      <c r="Y56" t="s">
        <v>54</v>
      </c>
      <c r="Z56" t="s">
        <v>54</v>
      </c>
      <c r="AA56">
        <v>1.7000000000000001E-2</v>
      </c>
      <c r="AB56" s="11">
        <f t="shared" si="0"/>
        <v>0.56666666666666676</v>
      </c>
      <c r="AC56">
        <v>1.9</v>
      </c>
      <c r="AD56">
        <v>6.4</v>
      </c>
      <c r="AE56">
        <v>7.8</v>
      </c>
      <c r="AF56">
        <f t="shared" si="1"/>
        <v>2.4005346869999999</v>
      </c>
      <c r="AG56">
        <v>3.3788246000000001E-2</v>
      </c>
      <c r="AH56">
        <v>2.7835820000000002E-3</v>
      </c>
      <c r="AI56">
        <v>1.4602534E-2</v>
      </c>
      <c r="AJ56">
        <v>4.3739173999999999E-2</v>
      </c>
      <c r="AK56">
        <v>3.9809886000000003E-2</v>
      </c>
      <c r="AL56">
        <v>0.395672845</v>
      </c>
      <c r="AM56">
        <v>1.7940273E-2</v>
      </c>
      <c r="AN56">
        <v>1.5922163970000001</v>
      </c>
      <c r="AO56">
        <v>0.24203287900000001</v>
      </c>
      <c r="AP56">
        <v>1.7948871000000002E-2</v>
      </c>
      <c r="AR56">
        <v>1.6068189310000001</v>
      </c>
      <c r="AS56">
        <v>0.24203287900000001</v>
      </c>
      <c r="AT56">
        <v>0.395672845</v>
      </c>
      <c r="AU56">
        <v>5.4512101E-2</v>
      </c>
      <c r="AV56">
        <v>0.108873835</v>
      </c>
      <c r="AW56">
        <v>1.2967141E-2</v>
      </c>
      <c r="AX56">
        <v>2.4005346869999999</v>
      </c>
    </row>
    <row r="57" spans="1:50">
      <c r="A57" t="s">
        <v>50</v>
      </c>
      <c r="B57">
        <v>147647</v>
      </c>
      <c r="C57">
        <v>6300430</v>
      </c>
      <c r="D57">
        <v>486800</v>
      </c>
      <c r="E57" t="s">
        <v>51</v>
      </c>
      <c r="F57" t="s">
        <v>52</v>
      </c>
      <c r="G57" s="5">
        <v>45427</v>
      </c>
      <c r="H57">
        <v>2024</v>
      </c>
      <c r="I57">
        <v>5</v>
      </c>
      <c r="J57">
        <v>15</v>
      </c>
      <c r="K57">
        <v>0.5</v>
      </c>
      <c r="L57">
        <v>4.4000000000000004</v>
      </c>
      <c r="M57">
        <v>16.7</v>
      </c>
      <c r="N57">
        <v>10.25</v>
      </c>
      <c r="O57">
        <v>106</v>
      </c>
      <c r="P57">
        <v>7.5</v>
      </c>
      <c r="Q57">
        <v>0.46</v>
      </c>
      <c r="R57">
        <v>21.8</v>
      </c>
      <c r="S57" t="s">
        <v>53</v>
      </c>
      <c r="T57" t="s">
        <v>53</v>
      </c>
      <c r="U57">
        <v>420</v>
      </c>
      <c r="V57" t="s">
        <v>55</v>
      </c>
      <c r="W57">
        <v>17</v>
      </c>
      <c r="X57" t="s">
        <v>54</v>
      </c>
      <c r="Y57" t="s">
        <v>54</v>
      </c>
      <c r="Z57" t="s">
        <v>54</v>
      </c>
      <c r="AA57">
        <v>3.3000000000000002E-2</v>
      </c>
      <c r="AB57" s="11">
        <f t="shared" si="0"/>
        <v>1.1000000000000001</v>
      </c>
      <c r="AC57">
        <v>1.9</v>
      </c>
      <c r="AD57">
        <v>7.2</v>
      </c>
      <c r="AE57">
        <v>5.6</v>
      </c>
      <c r="AF57">
        <f t="shared" si="1"/>
        <v>3.5381900000000002</v>
      </c>
      <c r="AG57" s="10">
        <v>1.65754</v>
      </c>
      <c r="AH57" s="10">
        <v>3.5999999999999999E-3</v>
      </c>
      <c r="AI57" s="10">
        <v>0.10813</v>
      </c>
      <c r="AJ57" s="10">
        <v>8.0000000000000002E-3</v>
      </c>
      <c r="AK57" s="10">
        <v>0.11949</v>
      </c>
      <c r="AL57" s="10">
        <v>1.4093100000000001</v>
      </c>
      <c r="AM57" s="10">
        <v>1.6000000000000001E-4</v>
      </c>
      <c r="AN57" s="10">
        <v>3.6650000000000002E-2</v>
      </c>
      <c r="AO57" s="10">
        <v>0.12164</v>
      </c>
      <c r="AP57" s="10">
        <v>1.3699999999999999E-3</v>
      </c>
      <c r="AQ57" s="10">
        <v>7.2300000000000003E-2</v>
      </c>
      <c r="AR57" s="10">
        <v>0.14476744599999999</v>
      </c>
      <c r="AS57" s="10">
        <v>0.121639232</v>
      </c>
      <c r="AT57" s="10">
        <v>1.4093060660000001</v>
      </c>
      <c r="AU57" s="10">
        <v>1.66129142</v>
      </c>
      <c r="AV57" s="10">
        <v>0.13661034999999999</v>
      </c>
      <c r="AW57" s="10">
        <v>6.2952288999999995E-2</v>
      </c>
      <c r="AX57" s="10">
        <v>3.5381900000000002</v>
      </c>
    </row>
    <row r="58" spans="1:50">
      <c r="A58" t="s">
        <v>50</v>
      </c>
      <c r="B58">
        <v>147647</v>
      </c>
      <c r="C58">
        <v>6300430</v>
      </c>
      <c r="D58">
        <v>486800</v>
      </c>
      <c r="E58" t="s">
        <v>51</v>
      </c>
      <c r="F58" t="s">
        <v>52</v>
      </c>
      <c r="G58" s="5">
        <v>45455</v>
      </c>
      <c r="H58">
        <v>2024</v>
      </c>
      <c r="I58">
        <v>6</v>
      </c>
      <c r="J58">
        <v>12</v>
      </c>
      <c r="K58">
        <v>0.5</v>
      </c>
      <c r="L58">
        <v>3.3</v>
      </c>
      <c r="M58">
        <v>16.600000000000001</v>
      </c>
      <c r="N58">
        <v>9.77</v>
      </c>
      <c r="O58">
        <v>100</v>
      </c>
      <c r="P58">
        <v>7.7</v>
      </c>
      <c r="Q58">
        <v>0.49</v>
      </c>
      <c r="R58">
        <v>22.8</v>
      </c>
      <c r="S58" t="s">
        <v>53</v>
      </c>
      <c r="T58" t="s">
        <v>53</v>
      </c>
      <c r="U58">
        <v>410</v>
      </c>
      <c r="V58">
        <v>2.2999999999999998</v>
      </c>
      <c r="W58">
        <v>16</v>
      </c>
      <c r="X58" t="s">
        <v>54</v>
      </c>
      <c r="Y58" t="s">
        <v>54</v>
      </c>
      <c r="Z58" t="s">
        <v>54</v>
      </c>
      <c r="AA58">
        <v>1.6E-2</v>
      </c>
      <c r="AB58" s="11">
        <f t="shared" si="0"/>
        <v>0.53333333333333333</v>
      </c>
      <c r="AC58">
        <v>1.4</v>
      </c>
      <c r="AD58">
        <v>6.9</v>
      </c>
      <c r="AE58">
        <v>10</v>
      </c>
      <c r="AF58">
        <f t="shared" si="1"/>
        <v>9.3542100000000001</v>
      </c>
      <c r="AG58" s="10">
        <v>6.0749999999999998E-2</v>
      </c>
      <c r="AH58" s="10">
        <v>0</v>
      </c>
      <c r="AI58" s="10">
        <v>0.18132999999999999</v>
      </c>
      <c r="AJ58" s="10">
        <v>7.5199999999999998E-3</v>
      </c>
      <c r="AK58" s="10">
        <v>0.19056000000000001</v>
      </c>
      <c r="AL58" s="10">
        <v>8.6490399999999994</v>
      </c>
      <c r="AM58" s="10">
        <v>2.945E-2</v>
      </c>
      <c r="AN58" s="10">
        <v>2.5659999999999999E-2</v>
      </c>
      <c r="AO58" s="10">
        <v>1.8489999999999999E-2</v>
      </c>
      <c r="AP58" s="10">
        <v>0.10427</v>
      </c>
      <c r="AQ58" s="10">
        <v>8.7139999999999995E-2</v>
      </c>
      <c r="AR58" s="10">
        <v>0.206990374</v>
      </c>
      <c r="AS58" s="10">
        <v>1.8492412999999999E-2</v>
      </c>
      <c r="AT58" s="10">
        <v>8.6490309760000006</v>
      </c>
      <c r="AU58" s="10">
        <v>9.0205319000000006E-2</v>
      </c>
      <c r="AV58" s="10">
        <v>0.31275276299999999</v>
      </c>
      <c r="AW58" s="10">
        <v>6.9855306000000006E-2</v>
      </c>
      <c r="AX58" s="10">
        <v>9.3542100000000001</v>
      </c>
    </row>
    <row r="59" spans="1:50">
      <c r="A59" t="s">
        <v>50</v>
      </c>
      <c r="B59">
        <v>147647</v>
      </c>
      <c r="C59">
        <v>6300430</v>
      </c>
      <c r="D59">
        <v>486800</v>
      </c>
      <c r="E59" t="s">
        <v>51</v>
      </c>
      <c r="F59" t="s">
        <v>52</v>
      </c>
      <c r="G59" s="5">
        <v>45482</v>
      </c>
      <c r="H59">
        <v>2024</v>
      </c>
      <c r="I59">
        <v>7</v>
      </c>
      <c r="J59">
        <v>9</v>
      </c>
      <c r="K59">
        <v>0.5</v>
      </c>
      <c r="L59">
        <v>2</v>
      </c>
      <c r="M59">
        <v>17.899999999999999</v>
      </c>
      <c r="N59">
        <v>10.5</v>
      </c>
      <c r="O59">
        <v>111</v>
      </c>
      <c r="P59">
        <v>8</v>
      </c>
      <c r="Q59">
        <v>0.49</v>
      </c>
      <c r="R59">
        <v>22.3</v>
      </c>
      <c r="S59">
        <v>11</v>
      </c>
      <c r="T59" t="s">
        <v>53</v>
      </c>
      <c r="U59">
        <v>950</v>
      </c>
      <c r="V59">
        <v>2.4</v>
      </c>
      <c r="W59">
        <v>40</v>
      </c>
      <c r="X59" t="s">
        <v>54</v>
      </c>
      <c r="Y59" t="s">
        <v>54</v>
      </c>
      <c r="Z59" t="s">
        <v>54</v>
      </c>
      <c r="AA59">
        <v>2.3E-2</v>
      </c>
      <c r="AB59" s="11">
        <f t="shared" si="0"/>
        <v>0.76666666666666672</v>
      </c>
      <c r="AC59">
        <v>8.6999999999999993</v>
      </c>
      <c r="AD59">
        <v>7</v>
      </c>
      <c r="AE59">
        <v>42</v>
      </c>
      <c r="AF59">
        <f t="shared" si="1"/>
        <v>6.8396699999999999</v>
      </c>
      <c r="AG59" s="10">
        <v>1.74674</v>
      </c>
      <c r="AH59" s="10">
        <v>0</v>
      </c>
      <c r="AI59" s="10">
        <v>3.8550000000000001E-2</v>
      </c>
      <c r="AJ59" s="10">
        <v>9.0450000000000003E-2</v>
      </c>
      <c r="AK59" s="10">
        <v>0.13933999999999999</v>
      </c>
      <c r="AL59" s="10">
        <v>4.4275799999999998</v>
      </c>
      <c r="AM59" s="10">
        <v>6.6299999999999996E-3</v>
      </c>
      <c r="AN59" s="10">
        <v>0.11126</v>
      </c>
      <c r="AO59" s="10">
        <v>0.21298</v>
      </c>
      <c r="AP59" s="10">
        <v>5.3420000000000002E-2</v>
      </c>
      <c r="AQ59" s="10">
        <v>1.272E-2</v>
      </c>
      <c r="AR59" s="10">
        <v>0.15734216200000001</v>
      </c>
      <c r="AS59" s="10">
        <v>0.21298231100000001</v>
      </c>
      <c r="AT59" s="10">
        <v>4.427575536</v>
      </c>
      <c r="AU59" s="10">
        <v>1.753376399</v>
      </c>
      <c r="AV59" s="10">
        <v>0.28411925999999998</v>
      </c>
      <c r="AW59" s="10">
        <v>0</v>
      </c>
      <c r="AX59" s="10">
        <v>6.8396699999999999</v>
      </c>
    </row>
    <row r="60" spans="1:50">
      <c r="A60" t="s">
        <v>50</v>
      </c>
      <c r="B60">
        <v>147647</v>
      </c>
      <c r="C60">
        <v>6300430</v>
      </c>
      <c r="D60">
        <v>486800</v>
      </c>
      <c r="E60" t="s">
        <v>51</v>
      </c>
      <c r="F60" t="s">
        <v>52</v>
      </c>
      <c r="G60" s="5">
        <v>45511</v>
      </c>
      <c r="H60">
        <v>2024</v>
      </c>
      <c r="I60">
        <v>8</v>
      </c>
      <c r="J60">
        <v>7</v>
      </c>
      <c r="K60">
        <v>0.5</v>
      </c>
      <c r="L60">
        <v>1.8</v>
      </c>
      <c r="M60">
        <v>21.9</v>
      </c>
      <c r="N60">
        <v>9.8000000000000007</v>
      </c>
      <c r="O60">
        <v>112</v>
      </c>
      <c r="P60">
        <v>8.4</v>
      </c>
      <c r="Q60">
        <v>0.52</v>
      </c>
      <c r="R60">
        <v>22</v>
      </c>
      <c r="S60">
        <v>53</v>
      </c>
      <c r="T60" t="s">
        <v>53</v>
      </c>
      <c r="U60">
        <v>820</v>
      </c>
      <c r="V60" t="s">
        <v>55</v>
      </c>
      <c r="W60">
        <v>31</v>
      </c>
      <c r="X60" t="s">
        <v>54</v>
      </c>
      <c r="Y60" t="s">
        <v>54</v>
      </c>
      <c r="Z60" t="s">
        <v>54</v>
      </c>
      <c r="AA60">
        <v>3.4000000000000002E-2</v>
      </c>
      <c r="AB60" s="11">
        <f t="shared" si="0"/>
        <v>1.1333333333333335</v>
      </c>
      <c r="AC60">
        <v>4.4000000000000004</v>
      </c>
      <c r="AD60">
        <v>6.8</v>
      </c>
      <c r="AE60">
        <v>28</v>
      </c>
      <c r="AF60">
        <f t="shared" si="1"/>
        <v>15.16939</v>
      </c>
      <c r="AG60" s="10">
        <v>2.01E-2</v>
      </c>
      <c r="AH60" s="10">
        <v>7.5399999999999998E-3</v>
      </c>
      <c r="AI60" s="10">
        <v>0</v>
      </c>
      <c r="AJ60" s="10">
        <v>8.8289999999999993E-2</v>
      </c>
      <c r="AK60" s="10">
        <v>0.17558000000000001</v>
      </c>
      <c r="AL60" s="10">
        <v>14.41408</v>
      </c>
      <c r="AM60" s="10">
        <v>0</v>
      </c>
      <c r="AN60" s="10">
        <v>0.10321</v>
      </c>
      <c r="AO60" s="10">
        <v>0.29710999999999999</v>
      </c>
      <c r="AP60" s="10">
        <v>7.8100000000000001E-3</v>
      </c>
      <c r="AQ60" s="10">
        <v>5.5669999999999997E-2</v>
      </c>
      <c r="AR60" s="10">
        <v>0.10320544399999999</v>
      </c>
      <c r="AS60" s="10">
        <v>0.297107338</v>
      </c>
      <c r="AT60" s="10">
        <v>14.414082647000001</v>
      </c>
      <c r="AU60" s="10">
        <v>2.7636187E-2</v>
      </c>
      <c r="AV60" s="10">
        <v>0.27167973000000001</v>
      </c>
      <c r="AW60" s="10">
        <v>5.1042501999999997E-2</v>
      </c>
      <c r="AX60" s="10">
        <v>15.16939</v>
      </c>
    </row>
    <row r="61" spans="1:50">
      <c r="A61" t="s">
        <v>50</v>
      </c>
      <c r="B61">
        <v>147647</v>
      </c>
      <c r="C61">
        <v>6300430</v>
      </c>
      <c r="D61">
        <v>486800</v>
      </c>
      <c r="E61" t="s">
        <v>51</v>
      </c>
      <c r="F61" t="s">
        <v>52</v>
      </c>
      <c r="G61" s="5">
        <v>45538</v>
      </c>
      <c r="H61">
        <v>2024</v>
      </c>
      <c r="I61">
        <v>9</v>
      </c>
      <c r="J61">
        <v>3</v>
      </c>
      <c r="K61">
        <v>0.5</v>
      </c>
      <c r="L61">
        <v>1.05</v>
      </c>
      <c r="M61">
        <v>18.600000000000001</v>
      </c>
      <c r="N61">
        <v>10.53</v>
      </c>
      <c r="O61">
        <v>113</v>
      </c>
      <c r="P61">
        <v>8.6</v>
      </c>
      <c r="Q61">
        <v>0.54</v>
      </c>
      <c r="R61">
        <v>22.2</v>
      </c>
      <c r="S61" t="s">
        <v>53</v>
      </c>
      <c r="T61" t="s">
        <v>53</v>
      </c>
      <c r="U61">
        <v>650</v>
      </c>
      <c r="V61">
        <v>4.3</v>
      </c>
      <c r="W61">
        <v>42</v>
      </c>
      <c r="X61" t="s">
        <v>54</v>
      </c>
      <c r="Y61" t="s">
        <v>54</v>
      </c>
      <c r="Z61" t="s">
        <v>54</v>
      </c>
      <c r="AA61">
        <v>2.7E-2</v>
      </c>
      <c r="AB61" s="11">
        <f t="shared" si="0"/>
        <v>0.9</v>
      </c>
      <c r="AC61">
        <v>3.6</v>
      </c>
      <c r="AD61">
        <v>7.1</v>
      </c>
      <c r="AE61">
        <v>20</v>
      </c>
      <c r="AF61">
        <f t="shared" si="1"/>
        <v>3.7418099999999996</v>
      </c>
      <c r="AG61" s="10">
        <v>3.2100000000000002E-3</v>
      </c>
      <c r="AH61" s="10">
        <v>0</v>
      </c>
      <c r="AI61" s="10">
        <v>7.2279999999999997E-2</v>
      </c>
      <c r="AJ61" s="10">
        <v>6.7019999999999996E-2</v>
      </c>
      <c r="AK61" s="10">
        <v>0.78951000000000005</v>
      </c>
      <c r="AL61" s="10">
        <v>1.9095299999999999</v>
      </c>
      <c r="AM61" s="10">
        <v>0.11983000000000001</v>
      </c>
      <c r="AN61" s="10">
        <v>9.3759999999999996E-2</v>
      </c>
      <c r="AO61" s="10">
        <v>0.16053000000000001</v>
      </c>
      <c r="AP61" s="10">
        <v>0.37179000000000001</v>
      </c>
      <c r="AQ61" s="10">
        <v>0.15434999999999999</v>
      </c>
      <c r="AR61" s="10">
        <v>0.16603477799999999</v>
      </c>
      <c r="AS61" s="10">
        <v>0.16053263600000001</v>
      </c>
      <c r="AT61" s="10">
        <v>1.909531745</v>
      </c>
      <c r="AU61" s="10">
        <v>0.123040384</v>
      </c>
      <c r="AV61" s="10">
        <v>1.228321982</v>
      </c>
      <c r="AW61" s="10">
        <v>0.14305184500000001</v>
      </c>
      <c r="AX61" s="10">
        <v>3.7418099999999996</v>
      </c>
    </row>
    <row r="62" spans="1:50">
      <c r="A62" t="s">
        <v>50</v>
      </c>
      <c r="B62">
        <v>147647</v>
      </c>
      <c r="C62">
        <v>6300430</v>
      </c>
      <c r="D62">
        <v>486800</v>
      </c>
      <c r="E62" t="s">
        <v>51</v>
      </c>
      <c r="F62" t="s">
        <v>52</v>
      </c>
      <c r="G62" s="5">
        <v>45575</v>
      </c>
      <c r="H62">
        <v>2024</v>
      </c>
      <c r="I62">
        <v>10</v>
      </c>
      <c r="J62">
        <v>10</v>
      </c>
      <c r="K62">
        <v>0.5</v>
      </c>
      <c r="L62">
        <v>3.4</v>
      </c>
      <c r="M62">
        <v>11.3</v>
      </c>
      <c r="N62">
        <v>10</v>
      </c>
      <c r="O62">
        <v>91.3</v>
      </c>
      <c r="P62">
        <v>7.5</v>
      </c>
      <c r="Q62">
        <v>0.54</v>
      </c>
      <c r="R62">
        <v>22.2</v>
      </c>
      <c r="S62">
        <v>16</v>
      </c>
      <c r="T62" t="s">
        <v>53</v>
      </c>
      <c r="U62">
        <v>460</v>
      </c>
      <c r="V62">
        <v>3</v>
      </c>
      <c r="W62">
        <v>33</v>
      </c>
      <c r="X62" t="s">
        <v>54</v>
      </c>
      <c r="Y62" t="s">
        <v>54</v>
      </c>
      <c r="Z62" t="s">
        <v>54</v>
      </c>
      <c r="AA62">
        <v>2.1000000000000001E-2</v>
      </c>
      <c r="AB62" s="11">
        <f t="shared" si="0"/>
        <v>0.70000000000000007</v>
      </c>
      <c r="AC62">
        <v>1.9</v>
      </c>
      <c r="AD62">
        <v>6.3</v>
      </c>
      <c r="AE62">
        <v>12</v>
      </c>
      <c r="AF62">
        <f>SUM(AG62:AQ62)</f>
        <v>2.8911699999999998</v>
      </c>
      <c r="AG62" s="10">
        <v>1.29E-2</v>
      </c>
      <c r="AH62" s="10">
        <v>0</v>
      </c>
      <c r="AI62" s="10">
        <v>1.9560000000000001E-2</v>
      </c>
      <c r="AJ62" s="10">
        <v>4.4089999999999997E-2</v>
      </c>
      <c r="AK62" s="10">
        <v>0.21263000000000001</v>
      </c>
      <c r="AL62" s="10">
        <v>0.96648000000000001</v>
      </c>
      <c r="AM62" s="10">
        <v>5.4039999999999998E-2</v>
      </c>
      <c r="AN62" s="10">
        <v>0.26296000000000003</v>
      </c>
      <c r="AO62" s="10">
        <v>0.99016999999999999</v>
      </c>
      <c r="AP62" s="10">
        <v>4.514E-2</v>
      </c>
      <c r="AQ62" s="10">
        <v>0.28320000000000001</v>
      </c>
      <c r="AR62" s="10">
        <v>0.28252102600000001</v>
      </c>
      <c r="AS62" s="10">
        <v>0.99017307300000001</v>
      </c>
      <c r="AT62" s="10">
        <v>0.96648019299999999</v>
      </c>
      <c r="AU62" s="10">
        <v>6.6939981999999995E-2</v>
      </c>
      <c r="AV62" s="10">
        <v>0.34343096899999997</v>
      </c>
      <c r="AW62" s="10">
        <v>0.20531400999999999</v>
      </c>
      <c r="AX62" s="10">
        <v>2.8911699999999998</v>
      </c>
    </row>
    <row r="63" spans="1:50">
      <c r="A63" t="s">
        <v>50</v>
      </c>
      <c r="B63">
        <v>147647</v>
      </c>
      <c r="C63">
        <v>6300430</v>
      </c>
      <c r="D63">
        <v>486800</v>
      </c>
      <c r="E63" t="s">
        <v>51</v>
      </c>
      <c r="F63" t="s">
        <v>52</v>
      </c>
      <c r="G63" s="5">
        <v>45623</v>
      </c>
      <c r="H63">
        <v>2024</v>
      </c>
      <c r="I63">
        <v>11</v>
      </c>
      <c r="J63">
        <v>27</v>
      </c>
      <c r="K63">
        <v>0.5</v>
      </c>
      <c r="L63" t="s">
        <v>54</v>
      </c>
      <c r="M63">
        <v>4.7</v>
      </c>
      <c r="N63" t="s">
        <v>54</v>
      </c>
      <c r="O63" t="s">
        <v>54</v>
      </c>
      <c r="P63">
        <v>7.29</v>
      </c>
      <c r="Q63">
        <v>0.51</v>
      </c>
      <c r="R63">
        <v>22.3</v>
      </c>
      <c r="S63">
        <v>37</v>
      </c>
      <c r="T63">
        <v>88</v>
      </c>
      <c r="U63">
        <v>515</v>
      </c>
      <c r="V63">
        <v>6</v>
      </c>
      <c r="W63">
        <v>23</v>
      </c>
      <c r="X63">
        <v>0.32</v>
      </c>
      <c r="Y63">
        <v>0.52600000000000002</v>
      </c>
      <c r="Z63">
        <v>5.8999999999999997E-2</v>
      </c>
      <c r="AA63">
        <v>2.1000000000000001E-2</v>
      </c>
      <c r="AB63" s="11">
        <f t="shared" si="0"/>
        <v>0.70000000000000007</v>
      </c>
      <c r="AC63">
        <v>1.4</v>
      </c>
      <c r="AD63">
        <v>6.3</v>
      </c>
      <c r="AE63" t="s">
        <v>54</v>
      </c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</row>
    <row r="64" spans="1:50" hidden="1">
      <c r="A64" t="s">
        <v>50</v>
      </c>
      <c r="B64">
        <v>147647</v>
      </c>
      <c r="C64">
        <v>6300430</v>
      </c>
      <c r="D64">
        <v>486800</v>
      </c>
      <c r="E64" t="s">
        <v>51</v>
      </c>
      <c r="F64" t="s">
        <v>52</v>
      </c>
      <c r="G64" s="5">
        <v>45783</v>
      </c>
      <c r="H64">
        <v>2025</v>
      </c>
      <c r="I64">
        <v>5</v>
      </c>
      <c r="J64">
        <v>6</v>
      </c>
      <c r="K64" s="2">
        <v>0.5</v>
      </c>
      <c r="L64">
        <v>2</v>
      </c>
      <c r="M64">
        <v>12.3</v>
      </c>
      <c r="N64">
        <v>10.1</v>
      </c>
      <c r="O64">
        <v>94</v>
      </c>
      <c r="P64">
        <v>7.4</v>
      </c>
      <c r="Q64">
        <v>0.52</v>
      </c>
      <c r="R64">
        <v>21</v>
      </c>
      <c r="S64">
        <v>30</v>
      </c>
      <c r="T64" t="s">
        <v>53</v>
      </c>
      <c r="U64">
        <v>540</v>
      </c>
      <c r="V64">
        <v>14</v>
      </c>
      <c r="W64">
        <v>52</v>
      </c>
      <c r="AA64">
        <v>3.2000000000000001E-2</v>
      </c>
      <c r="AB64" s="11">
        <f t="shared" si="0"/>
        <v>1.0666666666666667</v>
      </c>
      <c r="AC64">
        <v>4.7</v>
      </c>
      <c r="AD64">
        <v>6.7</v>
      </c>
      <c r="AE64">
        <v>6.2</v>
      </c>
      <c r="AF64">
        <f t="shared" ref="AF63:AF69" si="2">SUM(AG64:AQ64)</f>
        <v>0.94390999999999992</v>
      </c>
      <c r="AG64">
        <v>0.26732</v>
      </c>
      <c r="AH64">
        <v>1.61E-2</v>
      </c>
      <c r="AI64">
        <v>2.623E-2</v>
      </c>
      <c r="AK64">
        <v>0.15959000000000001</v>
      </c>
      <c r="AL64">
        <v>6.4999999999999997E-4</v>
      </c>
      <c r="AM64">
        <v>1.183E-2</v>
      </c>
      <c r="AN64">
        <v>3.78E-2</v>
      </c>
      <c r="AO64">
        <v>0.37285000000000001</v>
      </c>
      <c r="AP64">
        <v>3.5000000000000001E-3</v>
      </c>
      <c r="AQ64">
        <v>4.8039999999999999E-2</v>
      </c>
    </row>
    <row r="65" spans="1:43" hidden="1">
      <c r="A65" t="s">
        <v>50</v>
      </c>
      <c r="B65">
        <v>147647</v>
      </c>
      <c r="C65">
        <v>6300430</v>
      </c>
      <c r="D65">
        <v>486800</v>
      </c>
      <c r="E65" t="s">
        <v>51</v>
      </c>
      <c r="F65" t="s">
        <v>52</v>
      </c>
      <c r="G65" s="5">
        <v>45819</v>
      </c>
      <c r="H65">
        <v>2025</v>
      </c>
      <c r="I65">
        <v>6</v>
      </c>
      <c r="J65">
        <v>11</v>
      </c>
      <c r="K65" s="2">
        <v>0.5</v>
      </c>
      <c r="L65">
        <v>1.5</v>
      </c>
      <c r="M65">
        <v>15.6</v>
      </c>
      <c r="N65">
        <v>10.4</v>
      </c>
      <c r="O65">
        <v>105</v>
      </c>
      <c r="P65">
        <v>8.1</v>
      </c>
      <c r="Q65">
        <v>0.92</v>
      </c>
      <c r="R65">
        <v>20.8</v>
      </c>
      <c r="S65" t="s">
        <v>53</v>
      </c>
      <c r="T65" t="s">
        <v>53</v>
      </c>
      <c r="U65">
        <v>820</v>
      </c>
      <c r="V65">
        <v>2.4</v>
      </c>
      <c r="W65">
        <v>49</v>
      </c>
      <c r="AA65">
        <v>2.7E-2</v>
      </c>
      <c r="AB65" s="11">
        <f t="shared" si="0"/>
        <v>0.9</v>
      </c>
      <c r="AC65">
        <v>5</v>
      </c>
      <c r="AD65">
        <v>7.4</v>
      </c>
      <c r="AE65">
        <v>42</v>
      </c>
      <c r="AF65">
        <f t="shared" si="2"/>
        <v>73.564539999999994</v>
      </c>
      <c r="AG65">
        <v>2.15E-3</v>
      </c>
      <c r="AH65">
        <v>2.078E-2</v>
      </c>
      <c r="AI65">
        <v>0.31297999999999998</v>
      </c>
      <c r="AK65">
        <v>0.26983000000000001</v>
      </c>
      <c r="AL65">
        <v>72.29616</v>
      </c>
      <c r="AM65">
        <v>7.8799999999999999E-3</v>
      </c>
      <c r="AN65">
        <v>8.3299999999999999E-2</v>
      </c>
      <c r="AO65">
        <v>0.41271999999999998</v>
      </c>
      <c r="AP65">
        <v>5.7759999999999999E-2</v>
      </c>
      <c r="AQ65">
        <v>0.10098</v>
      </c>
    </row>
    <row r="66" spans="1:43" hidden="1">
      <c r="A66" t="s">
        <v>50</v>
      </c>
      <c r="B66">
        <v>147647</v>
      </c>
      <c r="C66">
        <v>6300430</v>
      </c>
      <c r="D66">
        <v>486800</v>
      </c>
      <c r="E66" t="s">
        <v>51</v>
      </c>
      <c r="F66" t="s">
        <v>52</v>
      </c>
      <c r="G66" s="5">
        <v>45840</v>
      </c>
      <c r="H66">
        <v>2025</v>
      </c>
      <c r="I66">
        <v>7</v>
      </c>
      <c r="J66">
        <v>2</v>
      </c>
      <c r="K66" s="2">
        <v>0.5</v>
      </c>
      <c r="L66">
        <v>1</v>
      </c>
      <c r="M66">
        <v>21.7</v>
      </c>
      <c r="N66">
        <v>13.2</v>
      </c>
      <c r="O66">
        <v>150</v>
      </c>
      <c r="P66">
        <v>9.1999999999999993</v>
      </c>
      <c r="Q66">
        <v>0.54</v>
      </c>
      <c r="R66">
        <v>20.6</v>
      </c>
      <c r="S66" t="s">
        <v>53</v>
      </c>
      <c r="T66" t="s">
        <v>57</v>
      </c>
      <c r="U66">
        <v>1400</v>
      </c>
      <c r="V66" t="s">
        <v>55</v>
      </c>
      <c r="W66">
        <v>58</v>
      </c>
      <c r="AA66">
        <v>3.6999999999999998E-2</v>
      </c>
      <c r="AB66" s="11">
        <f t="shared" si="0"/>
        <v>1.2333333333333334</v>
      </c>
      <c r="AC66">
        <v>8.6</v>
      </c>
      <c r="AD66">
        <v>7.9</v>
      </c>
      <c r="AE66">
        <v>71</v>
      </c>
      <c r="AF66">
        <f t="shared" si="2"/>
        <v>45.563379999999995</v>
      </c>
      <c r="AG66">
        <v>3.5520000000000003E-2</v>
      </c>
      <c r="AI66">
        <v>0.72409000000000001</v>
      </c>
      <c r="AK66">
        <v>0.19968</v>
      </c>
      <c r="AL66">
        <v>42.724679999999999</v>
      </c>
      <c r="AM66">
        <v>4.5949999999999998E-2</v>
      </c>
      <c r="AN66">
        <v>0.43385000000000001</v>
      </c>
      <c r="AO66">
        <v>1.18167</v>
      </c>
      <c r="AP66">
        <v>3.7330000000000002E-2</v>
      </c>
      <c r="AQ66">
        <v>0.18060999999999999</v>
      </c>
    </row>
    <row r="67" spans="1:43" hidden="1">
      <c r="A67" t="s">
        <v>50</v>
      </c>
      <c r="B67">
        <v>147647</v>
      </c>
      <c r="C67">
        <v>6300430</v>
      </c>
      <c r="D67">
        <v>486800</v>
      </c>
      <c r="E67" t="s">
        <v>51</v>
      </c>
      <c r="F67" t="s">
        <v>52</v>
      </c>
      <c r="G67" s="5">
        <v>45883</v>
      </c>
      <c r="H67">
        <v>2025</v>
      </c>
      <c r="I67">
        <v>8</v>
      </c>
      <c r="J67">
        <v>14</v>
      </c>
      <c r="K67" s="2">
        <v>0.5</v>
      </c>
      <c r="L67">
        <v>1.3</v>
      </c>
      <c r="M67">
        <v>20.9</v>
      </c>
      <c r="N67">
        <v>11.25</v>
      </c>
      <c r="O67">
        <v>126</v>
      </c>
      <c r="P67">
        <v>8.6</v>
      </c>
      <c r="Q67">
        <v>0.59</v>
      </c>
      <c r="R67">
        <v>20.5</v>
      </c>
      <c r="S67" t="s">
        <v>53</v>
      </c>
      <c r="T67" t="s">
        <v>53</v>
      </c>
      <c r="U67">
        <v>730</v>
      </c>
      <c r="V67" t="s">
        <v>55</v>
      </c>
      <c r="W67">
        <v>42</v>
      </c>
      <c r="AA67">
        <v>0.02</v>
      </c>
      <c r="AB67" s="11">
        <f t="shared" ref="AB67:AB69" si="3">AA67/0.03</f>
        <v>0.66666666666666674</v>
      </c>
      <c r="AC67">
        <v>5.0999999999999996</v>
      </c>
      <c r="AD67">
        <v>7.1</v>
      </c>
      <c r="AE67">
        <v>19</v>
      </c>
      <c r="AF67">
        <f t="shared" si="2"/>
        <v>7.5315100000000008</v>
      </c>
      <c r="AG67">
        <v>0.13189999999999999</v>
      </c>
      <c r="AH67">
        <v>1.899E-2</v>
      </c>
      <c r="AI67">
        <v>0.24210000000000001</v>
      </c>
      <c r="AJ67">
        <v>9.8720000000000002E-2</v>
      </c>
      <c r="AK67">
        <v>0.52451999999999999</v>
      </c>
      <c r="AL67">
        <v>3.2542</v>
      </c>
      <c r="AM67">
        <v>3.9879999999999999E-2</v>
      </c>
      <c r="AN67">
        <v>1.34029</v>
      </c>
      <c r="AO67">
        <v>1.3303499999999999</v>
      </c>
      <c r="AP67">
        <v>0.15992999999999999</v>
      </c>
      <c r="AQ67">
        <v>0.39062999999999998</v>
      </c>
    </row>
    <row r="68" spans="1:43" hidden="1">
      <c r="A68" t="s">
        <v>50</v>
      </c>
      <c r="B68">
        <v>147647</v>
      </c>
      <c r="C68">
        <v>6300430</v>
      </c>
      <c r="D68">
        <v>486800</v>
      </c>
      <c r="E68" t="s">
        <v>51</v>
      </c>
      <c r="F68" t="s">
        <v>52</v>
      </c>
      <c r="G68" s="5">
        <v>45905</v>
      </c>
      <c r="H68">
        <v>2025</v>
      </c>
      <c r="I68">
        <v>9</v>
      </c>
      <c r="J68">
        <v>5</v>
      </c>
      <c r="K68" s="2">
        <v>0.5</v>
      </c>
      <c r="L68">
        <v>1.8</v>
      </c>
      <c r="M68">
        <v>18.7</v>
      </c>
      <c r="N68">
        <v>8.1999999999999993</v>
      </c>
      <c r="O68">
        <v>87.9</v>
      </c>
      <c r="P68">
        <v>7.4</v>
      </c>
      <c r="Q68">
        <v>0.56999999999999995</v>
      </c>
      <c r="R68">
        <v>20.399999999999999</v>
      </c>
      <c r="S68" t="s">
        <v>53</v>
      </c>
      <c r="T68" t="s">
        <v>53</v>
      </c>
      <c r="U68">
        <v>640</v>
      </c>
      <c r="V68" t="s">
        <v>55</v>
      </c>
      <c r="W68">
        <v>35</v>
      </c>
      <c r="AA68">
        <v>1.9E-2</v>
      </c>
      <c r="AB68" s="11">
        <f t="shared" si="3"/>
        <v>0.6333333333333333</v>
      </c>
      <c r="AC68">
        <v>5</v>
      </c>
      <c r="AD68">
        <v>6.4</v>
      </c>
      <c r="AE68">
        <v>21</v>
      </c>
      <c r="AF68">
        <f t="shared" si="2"/>
        <v>4.2324700000000002</v>
      </c>
      <c r="AG68">
        <v>8.2100000000000003E-3</v>
      </c>
      <c r="AH68">
        <v>6.4700000000000001E-3</v>
      </c>
      <c r="AI68">
        <v>4.0989999999999999E-2</v>
      </c>
      <c r="AJ68">
        <v>5.4850000000000003E-2</v>
      </c>
      <c r="AK68">
        <v>0.40292</v>
      </c>
      <c r="AL68">
        <v>1.6091599999999999</v>
      </c>
      <c r="AM68">
        <v>6.1100000000000002E-2</v>
      </c>
      <c r="AN68">
        <v>0.97877000000000003</v>
      </c>
      <c r="AO68">
        <v>0.81644000000000005</v>
      </c>
      <c r="AP68">
        <v>1.094E-2</v>
      </c>
      <c r="AQ68">
        <v>0.24262</v>
      </c>
    </row>
    <row r="69" spans="1:43" hidden="1">
      <c r="A69" t="s">
        <v>50</v>
      </c>
      <c r="B69">
        <v>147647</v>
      </c>
      <c r="C69">
        <v>6300430</v>
      </c>
      <c r="D69">
        <v>486800</v>
      </c>
      <c r="E69" t="s">
        <v>51</v>
      </c>
      <c r="F69" t="s">
        <v>52</v>
      </c>
      <c r="G69" s="5">
        <v>45937</v>
      </c>
      <c r="H69">
        <v>2025</v>
      </c>
      <c r="I69">
        <v>10</v>
      </c>
      <c r="J69">
        <v>7</v>
      </c>
      <c r="K69" s="2">
        <v>0.5</v>
      </c>
      <c r="L69">
        <v>2.6</v>
      </c>
      <c r="M69">
        <v>11.2</v>
      </c>
      <c r="N69">
        <v>10.3</v>
      </c>
      <c r="O69">
        <v>93.9</v>
      </c>
      <c r="P69">
        <v>7.4</v>
      </c>
      <c r="Q69">
        <v>0.52</v>
      </c>
      <c r="R69">
        <v>19.7</v>
      </c>
      <c r="S69" t="s">
        <v>53</v>
      </c>
      <c r="T69" t="s">
        <v>53</v>
      </c>
      <c r="U69">
        <v>520</v>
      </c>
      <c r="V69">
        <v>3.9</v>
      </c>
      <c r="W69">
        <v>30</v>
      </c>
      <c r="AA69">
        <v>2.1000000000000001E-2</v>
      </c>
      <c r="AB69" s="11">
        <f t="shared" si="3"/>
        <v>0.70000000000000007</v>
      </c>
      <c r="AC69">
        <v>2.4</v>
      </c>
      <c r="AD69">
        <v>5.8</v>
      </c>
      <c r="AE69">
        <v>13</v>
      </c>
      <c r="AF69">
        <f t="shared" si="2"/>
        <v>1.73373</v>
      </c>
      <c r="AG69">
        <v>2.571E-2</v>
      </c>
      <c r="AH69">
        <v>1.8589999999999999E-2</v>
      </c>
      <c r="AI69">
        <v>1.82E-3</v>
      </c>
      <c r="AK69">
        <v>0.64636000000000005</v>
      </c>
      <c r="AL69">
        <v>0.46209</v>
      </c>
      <c r="AN69">
        <v>0.23558999999999999</v>
      </c>
      <c r="AO69">
        <v>0.25422</v>
      </c>
      <c r="AP69">
        <v>7.1399999999999996E-3</v>
      </c>
      <c r="AQ69">
        <v>8.2210000000000005E-2</v>
      </c>
    </row>
  </sheetData>
  <autoFilter ref="A1:AT69" xr:uid="{00000000-0001-0000-0100-000000000000}">
    <filterColumn colId="7">
      <filters>
        <filter val="2024"/>
      </filters>
    </filterColumn>
  </autoFilter>
  <pageMargins left="0.7" right="0.7" top="0.75" bottom="0.75" header="0.3" footer="0.3"/>
  <ignoredErrors>
    <ignoredError sqref="AF3:AF29 AF31:AF35 AF37:AF61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59"/>
  <sheetViews>
    <sheetView workbookViewId="0">
      <selection activeCell="G32" sqref="G32"/>
    </sheetView>
  </sheetViews>
  <sheetFormatPr defaultRowHeight="14.45"/>
  <cols>
    <col min="1" max="1" width="22" customWidth="1"/>
    <col min="2" max="2" width="26" customWidth="1"/>
    <col min="3" max="3" width="14" customWidth="1"/>
    <col min="4" max="4" width="16" customWidth="1"/>
    <col min="5" max="6" width="22" customWidth="1"/>
    <col min="7" max="7" width="24" customWidth="1"/>
    <col min="8" max="8" width="22" customWidth="1"/>
    <col min="9" max="9" width="16" customWidth="1"/>
    <col min="10" max="11" width="22" customWidth="1"/>
    <col min="12" max="12" width="16" customWidth="1"/>
    <col min="13" max="13" width="20" customWidth="1"/>
    <col min="14" max="14" width="16" customWidth="1"/>
    <col min="15" max="15" width="18" customWidth="1"/>
    <col min="16" max="16" width="26" customWidth="1"/>
    <col min="17" max="17" width="20" customWidth="1"/>
    <col min="18" max="21" width="16" customWidth="1"/>
    <col min="22" max="23" width="14" customWidth="1"/>
    <col min="24" max="24" width="18" customWidth="1"/>
    <col min="25" max="25" width="20" customWidth="1"/>
    <col min="26" max="26" width="18" customWidth="1"/>
    <col min="27" max="28" width="14" customWidth="1"/>
    <col min="29" max="29" width="40" customWidth="1"/>
    <col min="30" max="30" width="38" customWidth="1"/>
    <col min="31" max="31" width="18" customWidth="1"/>
    <col min="32" max="32" width="24" customWidth="1"/>
    <col min="33" max="33" width="18" customWidth="1"/>
    <col min="34" max="47" width="22" customWidth="1"/>
  </cols>
  <sheetData>
    <row r="1" spans="1:47" ht="28.9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0</v>
      </c>
      <c r="H1" s="1" t="s">
        <v>64</v>
      </c>
      <c r="I1" s="1" t="s">
        <v>65</v>
      </c>
      <c r="J1" s="1" t="s">
        <v>2</v>
      </c>
      <c r="K1" s="1" t="s">
        <v>3</v>
      </c>
      <c r="L1" s="1" t="s">
        <v>4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</row>
    <row r="2" spans="1:47">
      <c r="A2" t="s">
        <v>50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 t="s">
        <v>106</v>
      </c>
      <c r="H2" t="s">
        <v>107</v>
      </c>
      <c r="I2" t="s">
        <v>103</v>
      </c>
      <c r="J2" t="s">
        <v>108</v>
      </c>
      <c r="K2" t="s">
        <v>109</v>
      </c>
      <c r="L2" t="s">
        <v>51</v>
      </c>
      <c r="M2" t="s">
        <v>110</v>
      </c>
      <c r="N2" t="s">
        <v>111</v>
      </c>
      <c r="O2" t="s">
        <v>52</v>
      </c>
      <c r="P2" t="s">
        <v>112</v>
      </c>
      <c r="Q2" t="s">
        <v>113</v>
      </c>
      <c r="R2" t="s">
        <v>114</v>
      </c>
      <c r="S2" t="s">
        <v>115</v>
      </c>
      <c r="T2" t="s">
        <v>115</v>
      </c>
      <c r="U2" t="s">
        <v>115</v>
      </c>
      <c r="V2" t="s">
        <v>116</v>
      </c>
      <c r="W2" t="s">
        <v>117</v>
      </c>
      <c r="X2" t="s">
        <v>118</v>
      </c>
      <c r="Y2" t="s">
        <v>119</v>
      </c>
      <c r="Z2" t="s">
        <v>120</v>
      </c>
      <c r="AA2" t="s">
        <v>121</v>
      </c>
      <c r="AB2" t="s">
        <v>122</v>
      </c>
      <c r="AC2" t="s">
        <v>54</v>
      </c>
      <c r="AD2" t="s">
        <v>54</v>
      </c>
      <c r="AE2" t="s">
        <v>123</v>
      </c>
      <c r="AF2" t="s">
        <v>124</v>
      </c>
      <c r="AG2" t="s">
        <v>125</v>
      </c>
      <c r="AH2" t="s">
        <v>54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t="s">
        <v>54</v>
      </c>
      <c r="AO2" t="s">
        <v>126</v>
      </c>
      <c r="AP2" t="s">
        <v>127</v>
      </c>
      <c r="AQ2" t="s">
        <v>54</v>
      </c>
      <c r="AR2" t="s">
        <v>128</v>
      </c>
      <c r="AS2" t="s">
        <v>129</v>
      </c>
      <c r="AT2" t="s">
        <v>130</v>
      </c>
      <c r="AU2" t="s">
        <v>131</v>
      </c>
    </row>
    <row r="3" spans="1:47">
      <c r="A3" t="s">
        <v>50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 t="s">
        <v>106</v>
      </c>
      <c r="H3" t="s">
        <v>107</v>
      </c>
      <c r="I3" t="s">
        <v>103</v>
      </c>
      <c r="J3" t="s">
        <v>108</v>
      </c>
      <c r="K3" t="s">
        <v>109</v>
      </c>
      <c r="L3" t="s">
        <v>51</v>
      </c>
      <c r="M3" t="s">
        <v>110</v>
      </c>
      <c r="N3" t="s">
        <v>111</v>
      </c>
      <c r="O3" t="s">
        <v>52</v>
      </c>
      <c r="P3" t="s">
        <v>112</v>
      </c>
      <c r="Q3" t="s">
        <v>113</v>
      </c>
      <c r="R3" t="s">
        <v>114</v>
      </c>
      <c r="S3" t="s">
        <v>115</v>
      </c>
      <c r="T3" t="s">
        <v>115</v>
      </c>
      <c r="U3" t="s">
        <v>115</v>
      </c>
      <c r="V3" t="s">
        <v>132</v>
      </c>
      <c r="W3" t="s">
        <v>133</v>
      </c>
      <c r="X3" t="s">
        <v>118</v>
      </c>
      <c r="Y3" t="s">
        <v>134</v>
      </c>
      <c r="Z3" t="s">
        <v>135</v>
      </c>
      <c r="AA3" t="s">
        <v>121</v>
      </c>
      <c r="AB3" t="s">
        <v>122</v>
      </c>
      <c r="AC3" t="s">
        <v>54</v>
      </c>
      <c r="AD3" t="s">
        <v>54</v>
      </c>
      <c r="AE3" t="s">
        <v>136</v>
      </c>
      <c r="AF3" t="s">
        <v>124</v>
      </c>
      <c r="AG3" t="s">
        <v>125</v>
      </c>
      <c r="AH3" t="s">
        <v>54</v>
      </c>
      <c r="AI3" t="s">
        <v>54</v>
      </c>
      <c r="AJ3" t="s">
        <v>54</v>
      </c>
      <c r="AK3" t="s">
        <v>54</v>
      </c>
      <c r="AL3" t="s">
        <v>54</v>
      </c>
      <c r="AM3" t="s">
        <v>137</v>
      </c>
      <c r="AN3" t="s">
        <v>54</v>
      </c>
      <c r="AO3" t="s">
        <v>138</v>
      </c>
      <c r="AP3" t="s">
        <v>139</v>
      </c>
      <c r="AQ3" t="s">
        <v>54</v>
      </c>
      <c r="AR3" t="s">
        <v>140</v>
      </c>
      <c r="AS3" t="s">
        <v>141</v>
      </c>
      <c r="AT3" t="s">
        <v>142</v>
      </c>
      <c r="AU3" t="s">
        <v>143</v>
      </c>
    </row>
    <row r="4" spans="1:47">
      <c r="A4" t="s">
        <v>50</v>
      </c>
      <c r="B4" t="s">
        <v>101</v>
      </c>
      <c r="C4" t="s">
        <v>102</v>
      </c>
      <c r="D4" t="s">
        <v>103</v>
      </c>
      <c r="E4" t="s">
        <v>104</v>
      </c>
      <c r="F4" t="s">
        <v>105</v>
      </c>
      <c r="G4" t="s">
        <v>106</v>
      </c>
      <c r="H4" t="s">
        <v>107</v>
      </c>
      <c r="I4" t="s">
        <v>103</v>
      </c>
      <c r="J4" t="s">
        <v>108</v>
      </c>
      <c r="K4" t="s">
        <v>109</v>
      </c>
      <c r="L4" t="s">
        <v>51</v>
      </c>
      <c r="M4" t="s">
        <v>110</v>
      </c>
      <c r="N4" t="s">
        <v>111</v>
      </c>
      <c r="O4" t="s">
        <v>52</v>
      </c>
      <c r="P4" t="s">
        <v>112</v>
      </c>
      <c r="Q4" t="s">
        <v>113</v>
      </c>
      <c r="R4" t="s">
        <v>114</v>
      </c>
      <c r="S4" t="s">
        <v>115</v>
      </c>
      <c r="T4" t="s">
        <v>115</v>
      </c>
      <c r="U4" t="s">
        <v>115</v>
      </c>
      <c r="V4" t="s">
        <v>144</v>
      </c>
      <c r="W4" t="s">
        <v>145</v>
      </c>
      <c r="X4" t="s">
        <v>118</v>
      </c>
      <c r="Y4" t="s">
        <v>146</v>
      </c>
      <c r="Z4" t="s">
        <v>147</v>
      </c>
      <c r="AA4" t="s">
        <v>121</v>
      </c>
      <c r="AB4" t="s">
        <v>122</v>
      </c>
      <c r="AC4" t="s">
        <v>54</v>
      </c>
      <c r="AD4" t="s">
        <v>54</v>
      </c>
      <c r="AE4" t="s">
        <v>148</v>
      </c>
      <c r="AF4" t="s">
        <v>124</v>
      </c>
      <c r="AG4" t="s">
        <v>125</v>
      </c>
      <c r="AH4" t="s">
        <v>54</v>
      </c>
      <c r="AI4" t="s">
        <v>54</v>
      </c>
      <c r="AJ4" t="s">
        <v>54</v>
      </c>
      <c r="AK4" t="s">
        <v>54</v>
      </c>
      <c r="AL4" t="s">
        <v>54</v>
      </c>
      <c r="AM4" t="s">
        <v>149</v>
      </c>
      <c r="AN4" t="s">
        <v>150</v>
      </c>
      <c r="AO4" t="s">
        <v>151</v>
      </c>
      <c r="AP4" t="s">
        <v>152</v>
      </c>
      <c r="AQ4" t="s">
        <v>153</v>
      </c>
      <c r="AR4" t="s">
        <v>154</v>
      </c>
      <c r="AS4" t="s">
        <v>155</v>
      </c>
      <c r="AT4" t="s">
        <v>156</v>
      </c>
      <c r="AU4" t="s">
        <v>157</v>
      </c>
    </row>
    <row r="5" spans="1:47">
      <c r="A5" t="s">
        <v>50</v>
      </c>
      <c r="B5" t="s">
        <v>101</v>
      </c>
      <c r="C5" t="s">
        <v>102</v>
      </c>
      <c r="D5" t="s">
        <v>103</v>
      </c>
      <c r="E5" t="s">
        <v>104</v>
      </c>
      <c r="F5" t="s">
        <v>105</v>
      </c>
      <c r="G5" t="s">
        <v>106</v>
      </c>
      <c r="H5" t="s">
        <v>107</v>
      </c>
      <c r="I5" t="s">
        <v>103</v>
      </c>
      <c r="J5" t="s">
        <v>108</v>
      </c>
      <c r="K5" t="s">
        <v>109</v>
      </c>
      <c r="L5" t="s">
        <v>51</v>
      </c>
      <c r="M5" t="s">
        <v>110</v>
      </c>
      <c r="N5" t="s">
        <v>111</v>
      </c>
      <c r="O5" t="s">
        <v>52</v>
      </c>
      <c r="P5" t="s">
        <v>112</v>
      </c>
      <c r="Q5" t="s">
        <v>113</v>
      </c>
      <c r="R5" t="s">
        <v>114</v>
      </c>
      <c r="S5" t="s">
        <v>115</v>
      </c>
      <c r="T5" t="s">
        <v>115</v>
      </c>
      <c r="U5" t="s">
        <v>115</v>
      </c>
      <c r="V5" t="s">
        <v>158</v>
      </c>
      <c r="W5" t="s">
        <v>159</v>
      </c>
      <c r="X5" t="s">
        <v>118</v>
      </c>
      <c r="Y5" t="s">
        <v>135</v>
      </c>
      <c r="Z5" t="s">
        <v>160</v>
      </c>
      <c r="AA5" t="s">
        <v>121</v>
      </c>
      <c r="AB5" t="s">
        <v>122</v>
      </c>
      <c r="AC5" t="s">
        <v>54</v>
      </c>
      <c r="AD5" t="s">
        <v>54</v>
      </c>
      <c r="AE5" t="s">
        <v>161</v>
      </c>
      <c r="AF5" t="s">
        <v>124</v>
      </c>
      <c r="AG5" t="s">
        <v>125</v>
      </c>
      <c r="AH5" t="s">
        <v>54</v>
      </c>
      <c r="AI5" t="s">
        <v>54</v>
      </c>
      <c r="AJ5" t="s">
        <v>162</v>
      </c>
      <c r="AK5" t="s">
        <v>54</v>
      </c>
      <c r="AL5" t="s">
        <v>54</v>
      </c>
      <c r="AM5" t="s">
        <v>54</v>
      </c>
      <c r="AN5" t="s">
        <v>163</v>
      </c>
      <c r="AO5" t="s">
        <v>164</v>
      </c>
      <c r="AP5" t="s">
        <v>165</v>
      </c>
      <c r="AQ5" t="s">
        <v>166</v>
      </c>
      <c r="AR5" t="s">
        <v>167</v>
      </c>
      <c r="AS5" t="s">
        <v>168</v>
      </c>
      <c r="AT5" t="s">
        <v>169</v>
      </c>
      <c r="AU5" t="s">
        <v>170</v>
      </c>
    </row>
    <row r="6" spans="1:47">
      <c r="A6" t="s">
        <v>50</v>
      </c>
      <c r="B6" t="s">
        <v>101</v>
      </c>
      <c r="C6" t="s">
        <v>102</v>
      </c>
      <c r="D6" t="s">
        <v>103</v>
      </c>
      <c r="E6" t="s">
        <v>104</v>
      </c>
      <c r="F6" t="s">
        <v>105</v>
      </c>
      <c r="G6" t="s">
        <v>106</v>
      </c>
      <c r="H6" t="s">
        <v>107</v>
      </c>
      <c r="I6" t="s">
        <v>103</v>
      </c>
      <c r="J6" t="s">
        <v>108</v>
      </c>
      <c r="K6" t="s">
        <v>109</v>
      </c>
      <c r="L6" t="s">
        <v>51</v>
      </c>
      <c r="M6" t="s">
        <v>110</v>
      </c>
      <c r="N6" t="s">
        <v>111</v>
      </c>
      <c r="O6" t="s">
        <v>52</v>
      </c>
      <c r="P6" t="s">
        <v>112</v>
      </c>
      <c r="Q6" t="s">
        <v>113</v>
      </c>
      <c r="R6" t="s">
        <v>114</v>
      </c>
      <c r="S6" t="s">
        <v>115</v>
      </c>
      <c r="T6" t="s">
        <v>115</v>
      </c>
      <c r="U6" t="s">
        <v>115</v>
      </c>
      <c r="V6" t="s">
        <v>171</v>
      </c>
      <c r="W6" t="s">
        <v>172</v>
      </c>
      <c r="X6" t="s">
        <v>118</v>
      </c>
      <c r="Y6" t="s">
        <v>160</v>
      </c>
      <c r="Z6" t="s">
        <v>134</v>
      </c>
      <c r="AA6" t="s">
        <v>121</v>
      </c>
      <c r="AB6" t="s">
        <v>122</v>
      </c>
      <c r="AC6" t="s">
        <v>54</v>
      </c>
      <c r="AD6" t="s">
        <v>54</v>
      </c>
      <c r="AE6" t="s">
        <v>173</v>
      </c>
      <c r="AF6" t="s">
        <v>124</v>
      </c>
      <c r="AG6" t="s">
        <v>125</v>
      </c>
      <c r="AH6" t="s">
        <v>174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  <c r="AN6" t="s">
        <v>175</v>
      </c>
      <c r="AO6" t="s">
        <v>176</v>
      </c>
      <c r="AP6" t="s">
        <v>177</v>
      </c>
      <c r="AQ6" t="s">
        <v>178</v>
      </c>
      <c r="AR6" t="s">
        <v>179</v>
      </c>
      <c r="AS6" t="s">
        <v>180</v>
      </c>
      <c r="AT6" t="s">
        <v>181</v>
      </c>
      <c r="AU6" t="s">
        <v>182</v>
      </c>
    </row>
    <row r="7" spans="1:47">
      <c r="A7" t="s">
        <v>50</v>
      </c>
      <c r="B7" t="s">
        <v>101</v>
      </c>
      <c r="C7" t="s">
        <v>102</v>
      </c>
      <c r="D7" t="s">
        <v>103</v>
      </c>
      <c r="E7" t="s">
        <v>104</v>
      </c>
      <c r="F7" t="s">
        <v>105</v>
      </c>
      <c r="G7" t="s">
        <v>106</v>
      </c>
      <c r="H7" t="s">
        <v>107</v>
      </c>
      <c r="I7" t="s">
        <v>103</v>
      </c>
      <c r="J7" t="s">
        <v>108</v>
      </c>
      <c r="K7" t="s">
        <v>109</v>
      </c>
      <c r="L7" t="s">
        <v>51</v>
      </c>
      <c r="M7" t="s">
        <v>110</v>
      </c>
      <c r="N7" t="s">
        <v>111</v>
      </c>
      <c r="O7" t="s">
        <v>52</v>
      </c>
      <c r="P7" t="s">
        <v>112</v>
      </c>
      <c r="Q7" t="s">
        <v>113</v>
      </c>
      <c r="R7" t="s">
        <v>114</v>
      </c>
      <c r="S7" t="s">
        <v>115</v>
      </c>
      <c r="T7" t="s">
        <v>115</v>
      </c>
      <c r="U7" t="s">
        <v>115</v>
      </c>
      <c r="V7" t="s">
        <v>183</v>
      </c>
      <c r="W7" t="s">
        <v>184</v>
      </c>
      <c r="X7" t="s">
        <v>185</v>
      </c>
      <c r="Y7" t="s">
        <v>186</v>
      </c>
      <c r="Z7" t="s">
        <v>187</v>
      </c>
      <c r="AA7" t="s">
        <v>121</v>
      </c>
      <c r="AB7" t="s">
        <v>122</v>
      </c>
      <c r="AC7" t="s">
        <v>54</v>
      </c>
      <c r="AD7" t="s">
        <v>54</v>
      </c>
      <c r="AE7" t="s">
        <v>188</v>
      </c>
      <c r="AF7" t="s">
        <v>124</v>
      </c>
      <c r="AG7" t="s">
        <v>125</v>
      </c>
      <c r="AH7" t="s">
        <v>54</v>
      </c>
      <c r="AI7" t="s">
        <v>189</v>
      </c>
      <c r="AJ7" t="s">
        <v>190</v>
      </c>
      <c r="AK7" t="s">
        <v>54</v>
      </c>
      <c r="AL7" t="s">
        <v>54</v>
      </c>
      <c r="AM7" t="s">
        <v>54</v>
      </c>
      <c r="AN7" t="s">
        <v>191</v>
      </c>
      <c r="AO7" t="s">
        <v>192</v>
      </c>
      <c r="AP7" t="s">
        <v>193</v>
      </c>
      <c r="AQ7" t="s">
        <v>194</v>
      </c>
      <c r="AR7" t="s">
        <v>195</v>
      </c>
      <c r="AS7" t="s">
        <v>196</v>
      </c>
      <c r="AT7" t="s">
        <v>197</v>
      </c>
      <c r="AU7" t="s">
        <v>198</v>
      </c>
    </row>
    <row r="8" spans="1:47">
      <c r="A8" t="s">
        <v>50</v>
      </c>
      <c r="B8" t="s">
        <v>101</v>
      </c>
      <c r="C8" t="s">
        <v>102</v>
      </c>
      <c r="D8" t="s">
        <v>103</v>
      </c>
      <c r="E8" t="s">
        <v>104</v>
      </c>
      <c r="F8" t="s">
        <v>105</v>
      </c>
      <c r="G8" t="s">
        <v>106</v>
      </c>
      <c r="H8" t="s">
        <v>107</v>
      </c>
      <c r="I8" t="s">
        <v>103</v>
      </c>
      <c r="J8" t="s">
        <v>108</v>
      </c>
      <c r="K8" t="s">
        <v>109</v>
      </c>
      <c r="L8" t="s">
        <v>51</v>
      </c>
      <c r="M8" t="s">
        <v>110</v>
      </c>
      <c r="N8" t="s">
        <v>111</v>
      </c>
      <c r="O8" t="s">
        <v>52</v>
      </c>
      <c r="P8" t="s">
        <v>112</v>
      </c>
      <c r="Q8" t="s">
        <v>113</v>
      </c>
      <c r="R8" t="s">
        <v>114</v>
      </c>
      <c r="S8" t="s">
        <v>115</v>
      </c>
      <c r="T8" t="s">
        <v>115</v>
      </c>
      <c r="U8" t="s">
        <v>115</v>
      </c>
      <c r="V8" t="s">
        <v>199</v>
      </c>
      <c r="W8" t="s">
        <v>200</v>
      </c>
      <c r="X8" t="s">
        <v>185</v>
      </c>
      <c r="Y8" t="s">
        <v>119</v>
      </c>
      <c r="Z8" t="s">
        <v>135</v>
      </c>
      <c r="AA8" t="s">
        <v>121</v>
      </c>
      <c r="AB8" t="s">
        <v>122</v>
      </c>
      <c r="AC8" t="s">
        <v>54</v>
      </c>
      <c r="AD8" t="s">
        <v>54</v>
      </c>
      <c r="AE8" t="s">
        <v>201</v>
      </c>
      <c r="AF8" t="s">
        <v>124</v>
      </c>
      <c r="AG8" t="s">
        <v>125</v>
      </c>
      <c r="AH8" t="s">
        <v>54</v>
      </c>
      <c r="AI8" t="s">
        <v>54</v>
      </c>
      <c r="AJ8" t="s">
        <v>54</v>
      </c>
      <c r="AK8" t="s">
        <v>54</v>
      </c>
      <c r="AL8" t="s">
        <v>54</v>
      </c>
      <c r="AM8" t="s">
        <v>202</v>
      </c>
      <c r="AN8" t="s">
        <v>203</v>
      </c>
      <c r="AO8" t="s">
        <v>204</v>
      </c>
      <c r="AP8" t="s">
        <v>205</v>
      </c>
      <c r="AQ8" t="s">
        <v>54</v>
      </c>
      <c r="AR8" t="s">
        <v>206</v>
      </c>
      <c r="AS8" t="s">
        <v>207</v>
      </c>
      <c r="AT8" t="s">
        <v>208</v>
      </c>
      <c r="AU8" t="s">
        <v>209</v>
      </c>
    </row>
    <row r="9" spans="1:47">
      <c r="A9" t="s">
        <v>50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106</v>
      </c>
      <c r="H9" t="s">
        <v>107</v>
      </c>
      <c r="I9" t="s">
        <v>103</v>
      </c>
      <c r="J9" t="s">
        <v>108</v>
      </c>
      <c r="K9" t="s">
        <v>109</v>
      </c>
      <c r="L9" t="s">
        <v>51</v>
      </c>
      <c r="M9" t="s">
        <v>110</v>
      </c>
      <c r="N9" t="s">
        <v>111</v>
      </c>
      <c r="O9" t="s">
        <v>52</v>
      </c>
      <c r="P9" t="s">
        <v>112</v>
      </c>
      <c r="Q9" t="s">
        <v>113</v>
      </c>
      <c r="R9" t="s">
        <v>114</v>
      </c>
      <c r="S9" t="s">
        <v>115</v>
      </c>
      <c r="T9" t="s">
        <v>115</v>
      </c>
      <c r="U9" t="s">
        <v>115</v>
      </c>
      <c r="V9" t="s">
        <v>210</v>
      </c>
      <c r="W9" t="s">
        <v>211</v>
      </c>
      <c r="X9" t="s">
        <v>185</v>
      </c>
      <c r="Y9" t="s">
        <v>134</v>
      </c>
      <c r="Z9" t="s">
        <v>212</v>
      </c>
      <c r="AA9" t="s">
        <v>121</v>
      </c>
      <c r="AB9" t="s">
        <v>122</v>
      </c>
      <c r="AC9" t="s">
        <v>54</v>
      </c>
      <c r="AD9" t="s">
        <v>54</v>
      </c>
      <c r="AE9" t="s">
        <v>213</v>
      </c>
      <c r="AF9" t="s">
        <v>124</v>
      </c>
      <c r="AG9" t="s">
        <v>125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 t="s">
        <v>214</v>
      </c>
      <c r="AN9" t="s">
        <v>215</v>
      </c>
      <c r="AO9" t="s">
        <v>216</v>
      </c>
      <c r="AP9" t="s">
        <v>217</v>
      </c>
      <c r="AQ9" t="s">
        <v>54</v>
      </c>
      <c r="AR9" t="s">
        <v>218</v>
      </c>
      <c r="AS9" t="s">
        <v>219</v>
      </c>
      <c r="AT9" t="s">
        <v>220</v>
      </c>
      <c r="AU9" t="s">
        <v>221</v>
      </c>
    </row>
    <row r="10" spans="1:47">
      <c r="A10" t="s">
        <v>50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106</v>
      </c>
      <c r="H10" t="s">
        <v>107</v>
      </c>
      <c r="I10" t="s">
        <v>103</v>
      </c>
      <c r="J10" t="s">
        <v>108</v>
      </c>
      <c r="K10" t="s">
        <v>109</v>
      </c>
      <c r="L10" t="s">
        <v>51</v>
      </c>
      <c r="M10" t="s">
        <v>110</v>
      </c>
      <c r="N10" t="s">
        <v>111</v>
      </c>
      <c r="O10" t="s">
        <v>52</v>
      </c>
      <c r="P10" t="s">
        <v>112</v>
      </c>
      <c r="Q10" t="s">
        <v>113</v>
      </c>
      <c r="R10" t="s">
        <v>114</v>
      </c>
      <c r="S10" t="s">
        <v>115</v>
      </c>
      <c r="T10" t="s">
        <v>115</v>
      </c>
      <c r="U10" t="s">
        <v>115</v>
      </c>
      <c r="V10" t="s">
        <v>222</v>
      </c>
      <c r="W10" t="s">
        <v>223</v>
      </c>
      <c r="X10" t="s">
        <v>185</v>
      </c>
      <c r="Y10" t="s">
        <v>146</v>
      </c>
      <c r="Z10" t="s">
        <v>160</v>
      </c>
      <c r="AA10" t="s">
        <v>121</v>
      </c>
      <c r="AB10" t="s">
        <v>122</v>
      </c>
      <c r="AC10" t="s">
        <v>54</v>
      </c>
      <c r="AD10" t="s">
        <v>54</v>
      </c>
      <c r="AE10" t="s">
        <v>224</v>
      </c>
      <c r="AF10" t="s">
        <v>124</v>
      </c>
      <c r="AG10" t="s">
        <v>125</v>
      </c>
      <c r="AH10" t="s">
        <v>54</v>
      </c>
      <c r="AI10" t="s">
        <v>54</v>
      </c>
      <c r="AJ10" t="s">
        <v>54</v>
      </c>
      <c r="AK10" t="s">
        <v>54</v>
      </c>
      <c r="AL10" t="s">
        <v>54</v>
      </c>
      <c r="AM10" t="s">
        <v>225</v>
      </c>
      <c r="AN10" t="s">
        <v>226</v>
      </c>
      <c r="AO10" t="s">
        <v>227</v>
      </c>
      <c r="AP10" t="s">
        <v>228</v>
      </c>
      <c r="AQ10" t="s">
        <v>54</v>
      </c>
      <c r="AR10" t="s">
        <v>229</v>
      </c>
      <c r="AS10" t="s">
        <v>230</v>
      </c>
      <c r="AT10" t="s">
        <v>231</v>
      </c>
      <c r="AU10" t="s">
        <v>232</v>
      </c>
    </row>
    <row r="11" spans="1:47">
      <c r="A11" t="s">
        <v>50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103</v>
      </c>
      <c r="J11" t="s">
        <v>108</v>
      </c>
      <c r="K11" t="s">
        <v>109</v>
      </c>
      <c r="L11" t="s">
        <v>51</v>
      </c>
      <c r="M11" t="s">
        <v>110</v>
      </c>
      <c r="N11" t="s">
        <v>111</v>
      </c>
      <c r="O11" t="s">
        <v>52</v>
      </c>
      <c r="P11" t="s">
        <v>112</v>
      </c>
      <c r="Q11" t="s">
        <v>113</v>
      </c>
      <c r="R11" t="s">
        <v>114</v>
      </c>
      <c r="S11" t="s">
        <v>115</v>
      </c>
      <c r="T11" t="s">
        <v>115</v>
      </c>
      <c r="U11" t="s">
        <v>115</v>
      </c>
      <c r="V11" t="s">
        <v>233</v>
      </c>
      <c r="W11" t="s">
        <v>234</v>
      </c>
      <c r="X11" t="s">
        <v>185</v>
      </c>
      <c r="Y11" t="s">
        <v>135</v>
      </c>
      <c r="Z11" t="s">
        <v>146</v>
      </c>
      <c r="AA11" t="s">
        <v>121</v>
      </c>
      <c r="AB11" t="s">
        <v>122</v>
      </c>
      <c r="AC11" t="s">
        <v>54</v>
      </c>
      <c r="AD11" t="s">
        <v>54</v>
      </c>
      <c r="AE11" t="s">
        <v>235</v>
      </c>
      <c r="AF11" t="s">
        <v>124</v>
      </c>
      <c r="AG11" t="s">
        <v>125</v>
      </c>
      <c r="AH11" t="s">
        <v>54</v>
      </c>
      <c r="AI11" t="s">
        <v>236</v>
      </c>
      <c r="AJ11" t="s">
        <v>237</v>
      </c>
      <c r="AK11" t="s">
        <v>54</v>
      </c>
      <c r="AL11" t="s">
        <v>54</v>
      </c>
      <c r="AM11" t="s">
        <v>238</v>
      </c>
      <c r="AN11" t="s">
        <v>54</v>
      </c>
      <c r="AO11" t="s">
        <v>239</v>
      </c>
      <c r="AP11" t="s">
        <v>240</v>
      </c>
      <c r="AQ11" t="s">
        <v>54</v>
      </c>
      <c r="AR11" t="s">
        <v>241</v>
      </c>
      <c r="AS11" t="s">
        <v>242</v>
      </c>
      <c r="AT11" t="s">
        <v>243</v>
      </c>
      <c r="AU11" t="s">
        <v>244</v>
      </c>
    </row>
    <row r="12" spans="1:47">
      <c r="A12" t="s">
        <v>50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107</v>
      </c>
      <c r="I12" t="s">
        <v>103</v>
      </c>
      <c r="J12" t="s">
        <v>108</v>
      </c>
      <c r="K12" t="s">
        <v>109</v>
      </c>
      <c r="L12" t="s">
        <v>51</v>
      </c>
      <c r="M12" t="s">
        <v>110</v>
      </c>
      <c r="N12" t="s">
        <v>111</v>
      </c>
      <c r="O12" t="s">
        <v>52</v>
      </c>
      <c r="P12" t="s">
        <v>112</v>
      </c>
      <c r="Q12" t="s">
        <v>113</v>
      </c>
      <c r="R12" t="s">
        <v>114</v>
      </c>
      <c r="S12" t="s">
        <v>115</v>
      </c>
      <c r="T12" t="s">
        <v>115</v>
      </c>
      <c r="U12" t="s">
        <v>115</v>
      </c>
      <c r="V12" t="s">
        <v>245</v>
      </c>
      <c r="W12" t="s">
        <v>246</v>
      </c>
      <c r="X12" t="s">
        <v>185</v>
      </c>
      <c r="Y12" t="s">
        <v>160</v>
      </c>
      <c r="Z12" t="s">
        <v>247</v>
      </c>
      <c r="AA12" t="s">
        <v>121</v>
      </c>
      <c r="AB12" t="s">
        <v>122</v>
      </c>
      <c r="AC12" t="s">
        <v>54</v>
      </c>
      <c r="AD12" t="s">
        <v>54</v>
      </c>
      <c r="AE12" t="s">
        <v>248</v>
      </c>
      <c r="AF12" t="s">
        <v>124</v>
      </c>
      <c r="AG12" t="s">
        <v>125</v>
      </c>
      <c r="AH12" t="s">
        <v>54</v>
      </c>
      <c r="AI12" t="s">
        <v>54</v>
      </c>
      <c r="AJ12" t="s">
        <v>54</v>
      </c>
      <c r="AK12" t="s">
        <v>54</v>
      </c>
      <c r="AL12" t="s">
        <v>54</v>
      </c>
      <c r="AM12" t="s">
        <v>54</v>
      </c>
      <c r="AN12" t="s">
        <v>249</v>
      </c>
      <c r="AO12" t="s">
        <v>250</v>
      </c>
      <c r="AP12" t="s">
        <v>251</v>
      </c>
      <c r="AQ12" t="s">
        <v>54</v>
      </c>
      <c r="AR12" t="s">
        <v>252</v>
      </c>
      <c r="AS12" t="s">
        <v>253</v>
      </c>
      <c r="AT12" t="s">
        <v>254</v>
      </c>
      <c r="AU12" t="s">
        <v>255</v>
      </c>
    </row>
    <row r="13" spans="1:47">
      <c r="A13" t="s">
        <v>50</v>
      </c>
      <c r="B13" t="s">
        <v>101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t="s">
        <v>107</v>
      </c>
      <c r="I13" t="s">
        <v>103</v>
      </c>
      <c r="J13" t="s">
        <v>108</v>
      </c>
      <c r="K13" t="s">
        <v>109</v>
      </c>
      <c r="L13" t="s">
        <v>51</v>
      </c>
      <c r="M13" t="s">
        <v>110</v>
      </c>
      <c r="N13" t="s">
        <v>111</v>
      </c>
      <c r="O13" t="s">
        <v>52</v>
      </c>
      <c r="P13" t="s">
        <v>112</v>
      </c>
      <c r="Q13" t="s">
        <v>113</v>
      </c>
      <c r="R13" t="s">
        <v>114</v>
      </c>
      <c r="S13" t="s">
        <v>115</v>
      </c>
      <c r="T13" t="s">
        <v>115</v>
      </c>
      <c r="U13" t="s">
        <v>115</v>
      </c>
      <c r="V13" t="s">
        <v>256</v>
      </c>
      <c r="W13" t="s">
        <v>257</v>
      </c>
      <c r="X13" t="s">
        <v>258</v>
      </c>
      <c r="Y13" t="s">
        <v>186</v>
      </c>
      <c r="Z13" t="s">
        <v>259</v>
      </c>
      <c r="AA13" t="s">
        <v>121</v>
      </c>
      <c r="AB13" t="s">
        <v>122</v>
      </c>
      <c r="AC13" t="s">
        <v>260</v>
      </c>
      <c r="AD13" t="s">
        <v>261</v>
      </c>
      <c r="AE13" t="s">
        <v>262</v>
      </c>
      <c r="AF13" t="s">
        <v>124</v>
      </c>
      <c r="AG13" t="s">
        <v>125</v>
      </c>
      <c r="AH13" t="s">
        <v>54</v>
      </c>
      <c r="AI13" t="s">
        <v>263</v>
      </c>
      <c r="AJ13" t="s">
        <v>54</v>
      </c>
      <c r="AK13" t="s">
        <v>54</v>
      </c>
      <c r="AL13" t="s">
        <v>54</v>
      </c>
      <c r="AM13" t="s">
        <v>54</v>
      </c>
      <c r="AN13" t="s">
        <v>264</v>
      </c>
      <c r="AO13" t="s">
        <v>265</v>
      </c>
      <c r="AP13" t="s">
        <v>266</v>
      </c>
      <c r="AQ13" t="s">
        <v>54</v>
      </c>
      <c r="AR13" t="s">
        <v>267</v>
      </c>
      <c r="AS13" t="s">
        <v>268</v>
      </c>
      <c r="AT13" t="s">
        <v>269</v>
      </c>
      <c r="AU13" t="s">
        <v>54</v>
      </c>
    </row>
    <row r="14" spans="1:47">
      <c r="A14" t="s">
        <v>50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107</v>
      </c>
      <c r="I14" t="s">
        <v>103</v>
      </c>
      <c r="J14" t="s">
        <v>108</v>
      </c>
      <c r="K14" t="s">
        <v>109</v>
      </c>
      <c r="L14" t="s">
        <v>51</v>
      </c>
      <c r="M14" t="s">
        <v>110</v>
      </c>
      <c r="N14" t="s">
        <v>111</v>
      </c>
      <c r="O14" t="s">
        <v>52</v>
      </c>
      <c r="P14" t="s">
        <v>112</v>
      </c>
      <c r="Q14" t="s">
        <v>113</v>
      </c>
      <c r="R14" t="s">
        <v>114</v>
      </c>
      <c r="S14" t="s">
        <v>115</v>
      </c>
      <c r="T14" t="s">
        <v>115</v>
      </c>
      <c r="U14" t="s">
        <v>115</v>
      </c>
      <c r="V14" t="s">
        <v>270</v>
      </c>
      <c r="W14" t="s">
        <v>271</v>
      </c>
      <c r="X14" t="s">
        <v>258</v>
      </c>
      <c r="Y14" t="s">
        <v>119</v>
      </c>
      <c r="Z14" t="s">
        <v>135</v>
      </c>
      <c r="AA14" t="s">
        <v>121</v>
      </c>
      <c r="AB14" t="s">
        <v>122</v>
      </c>
      <c r="AC14" t="s">
        <v>260</v>
      </c>
      <c r="AD14" t="s">
        <v>261</v>
      </c>
      <c r="AE14" t="s">
        <v>272</v>
      </c>
      <c r="AF14" t="s">
        <v>124</v>
      </c>
      <c r="AG14" t="s">
        <v>125</v>
      </c>
      <c r="AH14" t="s">
        <v>54</v>
      </c>
      <c r="AI14" t="s">
        <v>54</v>
      </c>
      <c r="AJ14" t="s">
        <v>273</v>
      </c>
      <c r="AK14" t="s">
        <v>54</v>
      </c>
      <c r="AL14" t="s">
        <v>54</v>
      </c>
      <c r="AM14" t="s">
        <v>54</v>
      </c>
      <c r="AN14" t="s">
        <v>274</v>
      </c>
      <c r="AO14" t="s">
        <v>275</v>
      </c>
      <c r="AP14" t="s">
        <v>276</v>
      </c>
      <c r="AQ14" t="s">
        <v>54</v>
      </c>
      <c r="AR14" t="s">
        <v>277</v>
      </c>
      <c r="AS14" t="s">
        <v>278</v>
      </c>
      <c r="AT14" t="s">
        <v>279</v>
      </c>
      <c r="AU14" t="s">
        <v>280</v>
      </c>
    </row>
    <row r="15" spans="1:47">
      <c r="A15" t="s">
        <v>50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103</v>
      </c>
      <c r="J15" t="s">
        <v>108</v>
      </c>
      <c r="K15" t="s">
        <v>109</v>
      </c>
      <c r="L15" t="s">
        <v>51</v>
      </c>
      <c r="M15" t="s">
        <v>110</v>
      </c>
      <c r="N15" t="s">
        <v>111</v>
      </c>
      <c r="O15" t="s">
        <v>52</v>
      </c>
      <c r="P15" t="s">
        <v>112</v>
      </c>
      <c r="Q15" t="s">
        <v>113</v>
      </c>
      <c r="R15" t="s">
        <v>114</v>
      </c>
      <c r="S15" t="s">
        <v>115</v>
      </c>
      <c r="T15" t="s">
        <v>115</v>
      </c>
      <c r="U15" t="s">
        <v>115</v>
      </c>
      <c r="V15" t="s">
        <v>281</v>
      </c>
      <c r="W15" t="s">
        <v>282</v>
      </c>
      <c r="X15" t="s">
        <v>258</v>
      </c>
      <c r="Y15" t="s">
        <v>134</v>
      </c>
      <c r="Z15" t="s">
        <v>160</v>
      </c>
      <c r="AA15" t="s">
        <v>121</v>
      </c>
      <c r="AB15" t="s">
        <v>122</v>
      </c>
      <c r="AC15" t="s">
        <v>260</v>
      </c>
      <c r="AD15" t="s">
        <v>261</v>
      </c>
      <c r="AE15" t="s">
        <v>283</v>
      </c>
      <c r="AF15" t="s">
        <v>124</v>
      </c>
      <c r="AG15" t="s">
        <v>125</v>
      </c>
      <c r="AH15" t="s">
        <v>54</v>
      </c>
      <c r="AI15" t="s">
        <v>54</v>
      </c>
      <c r="AJ15" t="s">
        <v>284</v>
      </c>
      <c r="AK15" t="s">
        <v>54</v>
      </c>
      <c r="AL15" t="s">
        <v>54</v>
      </c>
      <c r="AM15" t="s">
        <v>285</v>
      </c>
      <c r="AN15" t="s">
        <v>54</v>
      </c>
      <c r="AO15" t="s">
        <v>286</v>
      </c>
      <c r="AP15" t="s">
        <v>287</v>
      </c>
      <c r="AQ15" t="s">
        <v>54</v>
      </c>
      <c r="AR15" t="s">
        <v>288</v>
      </c>
      <c r="AS15" t="s">
        <v>289</v>
      </c>
      <c r="AT15" t="s">
        <v>290</v>
      </c>
      <c r="AU15" t="s">
        <v>291</v>
      </c>
    </row>
    <row r="16" spans="1:47">
      <c r="A16" t="s">
        <v>50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106</v>
      </c>
      <c r="H16" t="s">
        <v>107</v>
      </c>
      <c r="I16" t="s">
        <v>103</v>
      </c>
      <c r="J16" t="s">
        <v>108</v>
      </c>
      <c r="K16" t="s">
        <v>109</v>
      </c>
      <c r="L16" t="s">
        <v>51</v>
      </c>
      <c r="M16" t="s">
        <v>110</v>
      </c>
      <c r="N16" t="s">
        <v>111</v>
      </c>
      <c r="O16" t="s">
        <v>52</v>
      </c>
      <c r="P16" t="s">
        <v>112</v>
      </c>
      <c r="Q16" t="s">
        <v>113</v>
      </c>
      <c r="R16" t="s">
        <v>114</v>
      </c>
      <c r="S16" t="s">
        <v>115</v>
      </c>
      <c r="T16" t="s">
        <v>115</v>
      </c>
      <c r="U16" t="s">
        <v>115</v>
      </c>
      <c r="V16" t="s">
        <v>292</v>
      </c>
      <c r="W16" t="s">
        <v>293</v>
      </c>
      <c r="X16" t="s">
        <v>258</v>
      </c>
      <c r="Y16" t="s">
        <v>146</v>
      </c>
      <c r="Z16" t="s">
        <v>294</v>
      </c>
      <c r="AA16" t="s">
        <v>121</v>
      </c>
      <c r="AB16" t="s">
        <v>122</v>
      </c>
      <c r="AC16" t="s">
        <v>260</v>
      </c>
      <c r="AD16" t="s">
        <v>261</v>
      </c>
      <c r="AE16" t="s">
        <v>295</v>
      </c>
      <c r="AF16" t="s">
        <v>124</v>
      </c>
      <c r="AG16" t="s">
        <v>125</v>
      </c>
      <c r="AH16" t="s">
        <v>54</v>
      </c>
      <c r="AI16" t="s">
        <v>54</v>
      </c>
      <c r="AJ16" t="s">
        <v>296</v>
      </c>
      <c r="AK16" t="s">
        <v>54</v>
      </c>
      <c r="AL16" t="s">
        <v>54</v>
      </c>
      <c r="AM16" t="s">
        <v>297</v>
      </c>
      <c r="AN16" t="s">
        <v>298</v>
      </c>
      <c r="AO16" t="s">
        <v>299</v>
      </c>
      <c r="AP16" t="s">
        <v>300</v>
      </c>
      <c r="AQ16" t="s">
        <v>54</v>
      </c>
      <c r="AR16" t="s">
        <v>301</v>
      </c>
      <c r="AS16" t="s">
        <v>302</v>
      </c>
      <c r="AT16" t="s">
        <v>303</v>
      </c>
      <c r="AU16" t="s">
        <v>304</v>
      </c>
    </row>
    <row r="17" spans="1:47">
      <c r="A17" t="s">
        <v>50</v>
      </c>
      <c r="B17" t="s">
        <v>101</v>
      </c>
      <c r="C17" t="s">
        <v>102</v>
      </c>
      <c r="D17" t="s">
        <v>103</v>
      </c>
      <c r="E17" t="s">
        <v>104</v>
      </c>
      <c r="F17" t="s">
        <v>105</v>
      </c>
      <c r="G17" t="s">
        <v>106</v>
      </c>
      <c r="H17" t="s">
        <v>107</v>
      </c>
      <c r="I17" t="s">
        <v>103</v>
      </c>
      <c r="J17" t="s">
        <v>108</v>
      </c>
      <c r="K17" t="s">
        <v>109</v>
      </c>
      <c r="L17" t="s">
        <v>51</v>
      </c>
      <c r="M17" t="s">
        <v>110</v>
      </c>
      <c r="N17" t="s">
        <v>111</v>
      </c>
      <c r="O17" t="s">
        <v>52</v>
      </c>
      <c r="P17" t="s">
        <v>112</v>
      </c>
      <c r="Q17" t="s">
        <v>113</v>
      </c>
      <c r="R17" t="s">
        <v>114</v>
      </c>
      <c r="S17" t="s">
        <v>115</v>
      </c>
      <c r="T17" t="s">
        <v>115</v>
      </c>
      <c r="U17" t="s">
        <v>115</v>
      </c>
      <c r="V17" t="s">
        <v>305</v>
      </c>
      <c r="W17" t="s">
        <v>306</v>
      </c>
      <c r="X17" t="s">
        <v>258</v>
      </c>
      <c r="Y17" t="s">
        <v>135</v>
      </c>
      <c r="Z17" t="s">
        <v>294</v>
      </c>
      <c r="AA17" t="s">
        <v>121</v>
      </c>
      <c r="AB17" t="s">
        <v>122</v>
      </c>
      <c r="AC17" t="s">
        <v>260</v>
      </c>
      <c r="AD17" t="s">
        <v>261</v>
      </c>
      <c r="AE17" t="s">
        <v>307</v>
      </c>
      <c r="AF17" t="s">
        <v>124</v>
      </c>
      <c r="AG17" t="s">
        <v>125</v>
      </c>
      <c r="AH17" t="s">
        <v>54</v>
      </c>
      <c r="AI17" t="s">
        <v>54</v>
      </c>
      <c r="AJ17" t="s">
        <v>308</v>
      </c>
      <c r="AK17" t="s">
        <v>54</v>
      </c>
      <c r="AL17" t="s">
        <v>54</v>
      </c>
      <c r="AM17" t="s">
        <v>309</v>
      </c>
      <c r="AN17" t="s">
        <v>310</v>
      </c>
      <c r="AO17" t="s">
        <v>311</v>
      </c>
      <c r="AP17" t="s">
        <v>312</v>
      </c>
      <c r="AQ17" t="s">
        <v>54</v>
      </c>
      <c r="AR17" t="s">
        <v>313</v>
      </c>
      <c r="AS17" t="s">
        <v>314</v>
      </c>
      <c r="AT17" t="s">
        <v>315</v>
      </c>
      <c r="AU17" t="s">
        <v>316</v>
      </c>
    </row>
    <row r="18" spans="1:47">
      <c r="A18" t="s">
        <v>50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106</v>
      </c>
      <c r="H18" t="s">
        <v>107</v>
      </c>
      <c r="I18" t="s">
        <v>103</v>
      </c>
      <c r="J18" t="s">
        <v>108</v>
      </c>
      <c r="K18" t="s">
        <v>109</v>
      </c>
      <c r="L18" t="s">
        <v>51</v>
      </c>
      <c r="M18" t="s">
        <v>110</v>
      </c>
      <c r="N18" t="s">
        <v>111</v>
      </c>
      <c r="O18" t="s">
        <v>52</v>
      </c>
      <c r="P18" t="s">
        <v>112</v>
      </c>
      <c r="Q18" t="s">
        <v>113</v>
      </c>
      <c r="R18" t="s">
        <v>114</v>
      </c>
      <c r="S18" t="s">
        <v>115</v>
      </c>
      <c r="T18" t="s">
        <v>115</v>
      </c>
      <c r="U18" t="s">
        <v>115</v>
      </c>
      <c r="V18" t="s">
        <v>317</v>
      </c>
      <c r="W18" t="s">
        <v>318</v>
      </c>
      <c r="X18" t="s">
        <v>258</v>
      </c>
      <c r="Y18" t="s">
        <v>160</v>
      </c>
      <c r="Z18" t="s">
        <v>135</v>
      </c>
      <c r="AA18" t="s">
        <v>121</v>
      </c>
      <c r="AB18" t="s">
        <v>122</v>
      </c>
      <c r="AC18" t="s">
        <v>260</v>
      </c>
      <c r="AD18" t="s">
        <v>261</v>
      </c>
      <c r="AE18" t="s">
        <v>319</v>
      </c>
      <c r="AF18" t="s">
        <v>124</v>
      </c>
      <c r="AG18" t="s">
        <v>125</v>
      </c>
      <c r="AH18" t="s">
        <v>54</v>
      </c>
      <c r="AI18" t="s">
        <v>54</v>
      </c>
      <c r="AJ18" t="s">
        <v>320</v>
      </c>
      <c r="AK18" t="s">
        <v>54</v>
      </c>
      <c r="AL18" t="s">
        <v>54</v>
      </c>
      <c r="AM18" t="s">
        <v>321</v>
      </c>
      <c r="AN18" t="s">
        <v>322</v>
      </c>
      <c r="AO18" t="s">
        <v>323</v>
      </c>
      <c r="AP18" t="s">
        <v>324</v>
      </c>
      <c r="AQ18" t="s">
        <v>54</v>
      </c>
      <c r="AR18" t="s">
        <v>325</v>
      </c>
      <c r="AS18" t="s">
        <v>326</v>
      </c>
      <c r="AT18" t="s">
        <v>327</v>
      </c>
      <c r="AU18" t="s">
        <v>328</v>
      </c>
    </row>
    <row r="19" spans="1:47">
      <c r="A19" t="s">
        <v>50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  <c r="G19" t="s">
        <v>106</v>
      </c>
      <c r="H19" t="s">
        <v>107</v>
      </c>
      <c r="I19" t="s">
        <v>103</v>
      </c>
      <c r="J19" t="s">
        <v>108</v>
      </c>
      <c r="K19" t="s">
        <v>109</v>
      </c>
      <c r="L19" t="s">
        <v>51</v>
      </c>
      <c r="M19" t="s">
        <v>110</v>
      </c>
      <c r="N19" t="s">
        <v>111</v>
      </c>
      <c r="O19" t="s">
        <v>52</v>
      </c>
      <c r="P19" t="s">
        <v>112</v>
      </c>
      <c r="Q19" t="s">
        <v>113</v>
      </c>
      <c r="R19" t="s">
        <v>114</v>
      </c>
      <c r="S19" t="s">
        <v>115</v>
      </c>
      <c r="T19" t="s">
        <v>115</v>
      </c>
      <c r="U19" t="s">
        <v>115</v>
      </c>
      <c r="V19" t="s">
        <v>329</v>
      </c>
      <c r="W19" t="s">
        <v>330</v>
      </c>
      <c r="X19" t="s">
        <v>331</v>
      </c>
      <c r="Y19" t="s">
        <v>186</v>
      </c>
      <c r="Z19" t="s">
        <v>146</v>
      </c>
      <c r="AA19" t="s">
        <v>121</v>
      </c>
      <c r="AB19" t="s">
        <v>122</v>
      </c>
      <c r="AC19" t="s">
        <v>260</v>
      </c>
      <c r="AD19" t="s">
        <v>261</v>
      </c>
      <c r="AE19" t="s">
        <v>332</v>
      </c>
      <c r="AF19" t="s">
        <v>124</v>
      </c>
      <c r="AG19" t="s">
        <v>125</v>
      </c>
      <c r="AH19" t="s">
        <v>54</v>
      </c>
      <c r="AI19" t="s">
        <v>333</v>
      </c>
      <c r="AJ19" t="s">
        <v>54</v>
      </c>
      <c r="AK19" t="s">
        <v>54</v>
      </c>
      <c r="AL19" t="s">
        <v>54</v>
      </c>
      <c r="AM19" t="s">
        <v>334</v>
      </c>
      <c r="AN19" t="s">
        <v>54</v>
      </c>
      <c r="AO19" t="s">
        <v>335</v>
      </c>
      <c r="AP19" t="s">
        <v>336</v>
      </c>
      <c r="AQ19" t="s">
        <v>337</v>
      </c>
      <c r="AR19" t="s">
        <v>338</v>
      </c>
      <c r="AS19" t="s">
        <v>339</v>
      </c>
      <c r="AT19" t="s">
        <v>340</v>
      </c>
      <c r="AU19" t="s">
        <v>341</v>
      </c>
    </row>
    <row r="20" spans="1:47">
      <c r="A20" t="s">
        <v>50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  <c r="G20" t="s">
        <v>106</v>
      </c>
      <c r="H20" t="s">
        <v>107</v>
      </c>
      <c r="I20" t="s">
        <v>103</v>
      </c>
      <c r="J20" t="s">
        <v>108</v>
      </c>
      <c r="K20" t="s">
        <v>109</v>
      </c>
      <c r="L20" t="s">
        <v>51</v>
      </c>
      <c r="M20" t="s">
        <v>110</v>
      </c>
      <c r="N20" t="s">
        <v>111</v>
      </c>
      <c r="O20" t="s">
        <v>52</v>
      </c>
      <c r="P20" t="s">
        <v>112</v>
      </c>
      <c r="Q20" t="s">
        <v>113</v>
      </c>
      <c r="R20" t="s">
        <v>114</v>
      </c>
      <c r="S20" t="s">
        <v>115</v>
      </c>
      <c r="T20" t="s">
        <v>115</v>
      </c>
      <c r="U20" t="s">
        <v>115</v>
      </c>
      <c r="V20" t="s">
        <v>342</v>
      </c>
      <c r="W20" t="s">
        <v>343</v>
      </c>
      <c r="X20" t="s">
        <v>331</v>
      </c>
      <c r="Y20" t="s">
        <v>119</v>
      </c>
      <c r="Z20" t="s">
        <v>146</v>
      </c>
      <c r="AA20" t="s">
        <v>121</v>
      </c>
      <c r="AB20" t="s">
        <v>122</v>
      </c>
      <c r="AC20" t="s">
        <v>260</v>
      </c>
      <c r="AD20" t="s">
        <v>261</v>
      </c>
      <c r="AE20" t="s">
        <v>344</v>
      </c>
      <c r="AF20" t="s">
        <v>124</v>
      </c>
      <c r="AG20" t="s">
        <v>125</v>
      </c>
      <c r="AH20" t="s">
        <v>345</v>
      </c>
      <c r="AI20" t="s">
        <v>346</v>
      </c>
      <c r="AJ20" t="s">
        <v>347</v>
      </c>
      <c r="AK20" t="s">
        <v>54</v>
      </c>
      <c r="AL20" t="s">
        <v>54</v>
      </c>
      <c r="AM20" t="s">
        <v>54</v>
      </c>
      <c r="AN20" t="s">
        <v>348</v>
      </c>
      <c r="AO20" t="s">
        <v>349</v>
      </c>
      <c r="AP20" t="s">
        <v>350</v>
      </c>
      <c r="AQ20" t="s">
        <v>351</v>
      </c>
      <c r="AR20" t="s">
        <v>352</v>
      </c>
      <c r="AS20" t="s">
        <v>353</v>
      </c>
      <c r="AT20" t="s">
        <v>354</v>
      </c>
      <c r="AU20" t="s">
        <v>355</v>
      </c>
    </row>
    <row r="21" spans="1:47">
      <c r="A21" t="s">
        <v>50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  <c r="G21" t="s">
        <v>106</v>
      </c>
      <c r="H21" t="s">
        <v>107</v>
      </c>
      <c r="I21" t="s">
        <v>103</v>
      </c>
      <c r="J21" t="s">
        <v>108</v>
      </c>
      <c r="K21" t="s">
        <v>109</v>
      </c>
      <c r="L21" t="s">
        <v>51</v>
      </c>
      <c r="M21" t="s">
        <v>110</v>
      </c>
      <c r="N21" t="s">
        <v>111</v>
      </c>
      <c r="O21" t="s">
        <v>52</v>
      </c>
      <c r="P21" t="s">
        <v>112</v>
      </c>
      <c r="Q21" t="s">
        <v>113</v>
      </c>
      <c r="R21" t="s">
        <v>114</v>
      </c>
      <c r="S21" t="s">
        <v>115</v>
      </c>
      <c r="T21" t="s">
        <v>115</v>
      </c>
      <c r="U21" t="s">
        <v>115</v>
      </c>
      <c r="V21" t="s">
        <v>356</v>
      </c>
      <c r="W21" t="s">
        <v>357</v>
      </c>
      <c r="X21" t="s">
        <v>331</v>
      </c>
      <c r="Y21" t="s">
        <v>134</v>
      </c>
      <c r="Z21" t="s">
        <v>160</v>
      </c>
      <c r="AA21" t="s">
        <v>121</v>
      </c>
      <c r="AB21" t="s">
        <v>122</v>
      </c>
      <c r="AC21" t="s">
        <v>260</v>
      </c>
      <c r="AD21" t="s">
        <v>261</v>
      </c>
      <c r="AE21" t="s">
        <v>358</v>
      </c>
      <c r="AF21" t="s">
        <v>124</v>
      </c>
      <c r="AG21" t="s">
        <v>125</v>
      </c>
      <c r="AH21" t="s">
        <v>54</v>
      </c>
      <c r="AI21" t="s">
        <v>54</v>
      </c>
      <c r="AJ21" t="s">
        <v>359</v>
      </c>
      <c r="AK21" t="s">
        <v>54</v>
      </c>
      <c r="AL21" t="s">
        <v>54</v>
      </c>
      <c r="AM21" t="s">
        <v>360</v>
      </c>
      <c r="AN21" t="s">
        <v>361</v>
      </c>
      <c r="AO21" t="s">
        <v>362</v>
      </c>
      <c r="AP21" t="s">
        <v>363</v>
      </c>
      <c r="AQ21" t="s">
        <v>364</v>
      </c>
      <c r="AR21" t="s">
        <v>365</v>
      </c>
      <c r="AS21" t="s">
        <v>366</v>
      </c>
      <c r="AT21" t="s">
        <v>367</v>
      </c>
      <c r="AU21" t="s">
        <v>368</v>
      </c>
    </row>
    <row r="22" spans="1:47">
      <c r="A22" t="s">
        <v>50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  <c r="G22" t="s">
        <v>106</v>
      </c>
      <c r="H22" t="s">
        <v>107</v>
      </c>
      <c r="I22" t="s">
        <v>103</v>
      </c>
      <c r="J22" t="s">
        <v>108</v>
      </c>
      <c r="K22" t="s">
        <v>109</v>
      </c>
      <c r="L22" t="s">
        <v>51</v>
      </c>
      <c r="M22" t="s">
        <v>110</v>
      </c>
      <c r="N22" t="s">
        <v>111</v>
      </c>
      <c r="O22" t="s">
        <v>52</v>
      </c>
      <c r="P22" t="s">
        <v>112</v>
      </c>
      <c r="Q22" t="s">
        <v>113</v>
      </c>
      <c r="R22" t="s">
        <v>114</v>
      </c>
      <c r="S22" t="s">
        <v>115</v>
      </c>
      <c r="T22" t="s">
        <v>115</v>
      </c>
      <c r="U22" t="s">
        <v>115</v>
      </c>
      <c r="V22" t="s">
        <v>369</v>
      </c>
      <c r="W22" t="s">
        <v>370</v>
      </c>
      <c r="X22" t="s">
        <v>331</v>
      </c>
      <c r="Y22" t="s">
        <v>146</v>
      </c>
      <c r="Z22" t="s">
        <v>259</v>
      </c>
      <c r="AA22" t="s">
        <v>121</v>
      </c>
      <c r="AB22" t="s">
        <v>122</v>
      </c>
      <c r="AC22" t="s">
        <v>260</v>
      </c>
      <c r="AD22" t="s">
        <v>261</v>
      </c>
      <c r="AE22" t="s">
        <v>371</v>
      </c>
      <c r="AF22" t="s">
        <v>124</v>
      </c>
      <c r="AG22" t="s">
        <v>125</v>
      </c>
      <c r="AH22" t="s">
        <v>372</v>
      </c>
      <c r="AI22" t="s">
        <v>54</v>
      </c>
      <c r="AJ22" t="s">
        <v>54</v>
      </c>
      <c r="AK22" t="s">
        <v>54</v>
      </c>
      <c r="AL22" t="s">
        <v>373</v>
      </c>
      <c r="AM22" t="s">
        <v>374</v>
      </c>
      <c r="AN22" t="s">
        <v>375</v>
      </c>
      <c r="AO22" t="s">
        <v>376</v>
      </c>
      <c r="AP22" t="s">
        <v>377</v>
      </c>
      <c r="AQ22" t="s">
        <v>54</v>
      </c>
      <c r="AR22" t="s">
        <v>378</v>
      </c>
      <c r="AS22" t="s">
        <v>379</v>
      </c>
      <c r="AT22" t="s">
        <v>380</v>
      </c>
      <c r="AU22" t="s">
        <v>381</v>
      </c>
    </row>
    <row r="23" spans="1:47">
      <c r="A23" t="s">
        <v>50</v>
      </c>
      <c r="B23" t="s">
        <v>101</v>
      </c>
      <c r="C23" t="s">
        <v>102</v>
      </c>
      <c r="D23" t="s">
        <v>103</v>
      </c>
      <c r="E23" t="s">
        <v>104</v>
      </c>
      <c r="F23" t="s">
        <v>105</v>
      </c>
      <c r="G23" t="s">
        <v>106</v>
      </c>
      <c r="H23" t="s">
        <v>107</v>
      </c>
      <c r="I23" t="s">
        <v>103</v>
      </c>
      <c r="J23" t="s">
        <v>108</v>
      </c>
      <c r="K23" t="s">
        <v>109</v>
      </c>
      <c r="L23" t="s">
        <v>51</v>
      </c>
      <c r="M23" t="s">
        <v>110</v>
      </c>
      <c r="N23" t="s">
        <v>111</v>
      </c>
      <c r="O23" t="s">
        <v>52</v>
      </c>
      <c r="P23" t="s">
        <v>112</v>
      </c>
      <c r="Q23" t="s">
        <v>113</v>
      </c>
      <c r="R23" t="s">
        <v>114</v>
      </c>
      <c r="S23" t="s">
        <v>115</v>
      </c>
      <c r="T23" t="s">
        <v>115</v>
      </c>
      <c r="U23" t="s">
        <v>115</v>
      </c>
      <c r="V23" t="s">
        <v>382</v>
      </c>
      <c r="W23" t="s">
        <v>383</v>
      </c>
      <c r="X23" t="s">
        <v>331</v>
      </c>
      <c r="Y23" t="s">
        <v>135</v>
      </c>
      <c r="Z23" t="s">
        <v>294</v>
      </c>
      <c r="AA23" t="s">
        <v>121</v>
      </c>
      <c r="AB23" t="s">
        <v>122</v>
      </c>
      <c r="AC23" t="s">
        <v>260</v>
      </c>
      <c r="AD23" t="s">
        <v>261</v>
      </c>
      <c r="AE23" t="s">
        <v>384</v>
      </c>
      <c r="AF23" t="s">
        <v>124</v>
      </c>
      <c r="AG23" t="s">
        <v>125</v>
      </c>
      <c r="AH23" t="s">
        <v>385</v>
      </c>
      <c r="AI23" t="s">
        <v>54</v>
      </c>
      <c r="AJ23" t="s">
        <v>386</v>
      </c>
      <c r="AK23" t="s">
        <v>54</v>
      </c>
      <c r="AL23" t="s">
        <v>54</v>
      </c>
      <c r="AM23" t="s">
        <v>54</v>
      </c>
      <c r="AN23" t="s">
        <v>387</v>
      </c>
      <c r="AO23" t="s">
        <v>388</v>
      </c>
      <c r="AP23" t="s">
        <v>389</v>
      </c>
      <c r="AQ23" t="s">
        <v>390</v>
      </c>
      <c r="AR23" t="s">
        <v>391</v>
      </c>
      <c r="AS23" t="s">
        <v>392</v>
      </c>
      <c r="AT23" t="s">
        <v>393</v>
      </c>
      <c r="AU23" t="s">
        <v>394</v>
      </c>
    </row>
    <row r="24" spans="1:47">
      <c r="A24" t="s">
        <v>50</v>
      </c>
      <c r="B24" t="s">
        <v>101</v>
      </c>
      <c r="C24" t="s">
        <v>102</v>
      </c>
      <c r="D24" t="s">
        <v>103</v>
      </c>
      <c r="E24" t="s">
        <v>104</v>
      </c>
      <c r="F24" t="s">
        <v>105</v>
      </c>
      <c r="G24" t="s">
        <v>106</v>
      </c>
      <c r="H24" t="s">
        <v>107</v>
      </c>
      <c r="I24" t="s">
        <v>103</v>
      </c>
      <c r="J24" t="s">
        <v>108</v>
      </c>
      <c r="K24" t="s">
        <v>109</v>
      </c>
      <c r="L24" t="s">
        <v>51</v>
      </c>
      <c r="M24" t="s">
        <v>110</v>
      </c>
      <c r="N24" t="s">
        <v>111</v>
      </c>
      <c r="O24" t="s">
        <v>52</v>
      </c>
      <c r="P24" t="s">
        <v>112</v>
      </c>
      <c r="Q24" t="s">
        <v>113</v>
      </c>
      <c r="R24" t="s">
        <v>114</v>
      </c>
      <c r="S24" t="s">
        <v>115</v>
      </c>
      <c r="T24" t="s">
        <v>115</v>
      </c>
      <c r="U24" t="s">
        <v>115</v>
      </c>
      <c r="V24" t="s">
        <v>395</v>
      </c>
      <c r="W24" t="s">
        <v>396</v>
      </c>
      <c r="X24" t="s">
        <v>331</v>
      </c>
      <c r="Y24" t="s">
        <v>160</v>
      </c>
      <c r="Z24" t="s">
        <v>186</v>
      </c>
      <c r="AA24" t="s">
        <v>121</v>
      </c>
      <c r="AB24" t="s">
        <v>122</v>
      </c>
      <c r="AC24" t="s">
        <v>260</v>
      </c>
      <c r="AD24" t="s">
        <v>261</v>
      </c>
      <c r="AE24" t="s">
        <v>397</v>
      </c>
      <c r="AF24" t="s">
        <v>124</v>
      </c>
      <c r="AG24" t="s">
        <v>125</v>
      </c>
      <c r="AH24" t="s">
        <v>54</v>
      </c>
      <c r="AI24" t="s">
        <v>398</v>
      </c>
      <c r="AJ24" t="s">
        <v>399</v>
      </c>
      <c r="AK24" t="s">
        <v>54</v>
      </c>
      <c r="AL24" t="s">
        <v>54</v>
      </c>
      <c r="AM24" t="s">
        <v>400</v>
      </c>
      <c r="AN24" t="s">
        <v>401</v>
      </c>
      <c r="AO24" t="s">
        <v>402</v>
      </c>
      <c r="AP24" t="s">
        <v>403</v>
      </c>
      <c r="AQ24" t="s">
        <v>404</v>
      </c>
      <c r="AR24" t="s">
        <v>405</v>
      </c>
      <c r="AS24" t="s">
        <v>406</v>
      </c>
      <c r="AT24" t="s">
        <v>407</v>
      </c>
      <c r="AU24" t="s">
        <v>408</v>
      </c>
    </row>
    <row r="25" spans="1:47">
      <c r="A25" t="s">
        <v>50</v>
      </c>
      <c r="B25" t="s">
        <v>101</v>
      </c>
      <c r="C25" t="s">
        <v>102</v>
      </c>
      <c r="D25" t="s">
        <v>103</v>
      </c>
      <c r="E25" t="s">
        <v>104</v>
      </c>
      <c r="F25" t="s">
        <v>105</v>
      </c>
      <c r="G25" t="s">
        <v>106</v>
      </c>
      <c r="H25" t="s">
        <v>107</v>
      </c>
      <c r="I25" t="s">
        <v>103</v>
      </c>
      <c r="J25" t="s">
        <v>108</v>
      </c>
      <c r="K25" t="s">
        <v>109</v>
      </c>
      <c r="L25" t="s">
        <v>51</v>
      </c>
      <c r="M25" t="s">
        <v>110</v>
      </c>
      <c r="N25" t="s">
        <v>111</v>
      </c>
      <c r="O25" t="s">
        <v>52</v>
      </c>
      <c r="P25" t="s">
        <v>112</v>
      </c>
      <c r="Q25" t="s">
        <v>113</v>
      </c>
      <c r="R25" t="s">
        <v>114</v>
      </c>
      <c r="S25" t="s">
        <v>115</v>
      </c>
      <c r="T25" t="s">
        <v>115</v>
      </c>
      <c r="U25" t="s">
        <v>115</v>
      </c>
      <c r="V25" t="s">
        <v>409</v>
      </c>
      <c r="W25" t="s">
        <v>410</v>
      </c>
      <c r="X25" t="s">
        <v>411</v>
      </c>
      <c r="Y25" t="s">
        <v>186</v>
      </c>
      <c r="Z25" t="s">
        <v>146</v>
      </c>
      <c r="AA25" t="s">
        <v>121</v>
      </c>
      <c r="AB25" t="s">
        <v>122</v>
      </c>
      <c r="AC25" t="s">
        <v>260</v>
      </c>
      <c r="AD25" t="s">
        <v>261</v>
      </c>
      <c r="AE25" t="s">
        <v>412</v>
      </c>
      <c r="AF25" t="s">
        <v>124</v>
      </c>
      <c r="AG25" t="s">
        <v>125</v>
      </c>
      <c r="AH25" t="s">
        <v>54</v>
      </c>
      <c r="AI25" t="s">
        <v>413</v>
      </c>
      <c r="AJ25" t="s">
        <v>414</v>
      </c>
      <c r="AK25" t="s">
        <v>54</v>
      </c>
      <c r="AL25" t="s">
        <v>54</v>
      </c>
      <c r="AM25" t="s">
        <v>54</v>
      </c>
      <c r="AN25" t="s">
        <v>54</v>
      </c>
      <c r="AO25" t="s">
        <v>415</v>
      </c>
      <c r="AP25" t="s">
        <v>416</v>
      </c>
      <c r="AQ25" t="s">
        <v>417</v>
      </c>
      <c r="AR25" t="s">
        <v>418</v>
      </c>
      <c r="AS25" t="s">
        <v>419</v>
      </c>
      <c r="AT25" t="s">
        <v>420</v>
      </c>
      <c r="AU25" t="s">
        <v>421</v>
      </c>
    </row>
    <row r="26" spans="1:47">
      <c r="A26" t="s">
        <v>50</v>
      </c>
      <c r="B26" t="s">
        <v>101</v>
      </c>
      <c r="C26" t="s">
        <v>102</v>
      </c>
      <c r="D26" t="s">
        <v>103</v>
      </c>
      <c r="E26" t="s">
        <v>104</v>
      </c>
      <c r="F26" t="s">
        <v>105</v>
      </c>
      <c r="G26" t="s">
        <v>106</v>
      </c>
      <c r="H26" t="s">
        <v>107</v>
      </c>
      <c r="I26" t="s">
        <v>103</v>
      </c>
      <c r="J26" t="s">
        <v>108</v>
      </c>
      <c r="K26" t="s">
        <v>109</v>
      </c>
      <c r="L26" t="s">
        <v>51</v>
      </c>
      <c r="M26" t="s">
        <v>110</v>
      </c>
      <c r="N26" t="s">
        <v>111</v>
      </c>
      <c r="O26" t="s">
        <v>52</v>
      </c>
      <c r="P26" t="s">
        <v>112</v>
      </c>
      <c r="Q26" t="s">
        <v>113</v>
      </c>
      <c r="R26" t="s">
        <v>114</v>
      </c>
      <c r="S26" t="s">
        <v>115</v>
      </c>
      <c r="T26" t="s">
        <v>115</v>
      </c>
      <c r="U26" t="s">
        <v>115</v>
      </c>
      <c r="V26" t="s">
        <v>422</v>
      </c>
      <c r="W26" t="s">
        <v>423</v>
      </c>
      <c r="X26" t="s">
        <v>411</v>
      </c>
      <c r="Y26" t="s">
        <v>119</v>
      </c>
      <c r="Z26" t="s">
        <v>424</v>
      </c>
      <c r="AA26" t="s">
        <v>121</v>
      </c>
      <c r="AB26" t="s">
        <v>122</v>
      </c>
      <c r="AC26" t="s">
        <v>260</v>
      </c>
      <c r="AD26" t="s">
        <v>261</v>
      </c>
      <c r="AE26" t="s">
        <v>425</v>
      </c>
      <c r="AF26" t="s">
        <v>124</v>
      </c>
      <c r="AG26" t="s">
        <v>125</v>
      </c>
      <c r="AH26" t="s">
        <v>54</v>
      </c>
      <c r="AI26" t="s">
        <v>426</v>
      </c>
      <c r="AJ26" t="s">
        <v>427</v>
      </c>
      <c r="AK26" t="s">
        <v>54</v>
      </c>
      <c r="AL26" t="s">
        <v>54</v>
      </c>
      <c r="AM26" t="s">
        <v>428</v>
      </c>
      <c r="AN26" t="s">
        <v>429</v>
      </c>
      <c r="AO26" t="s">
        <v>430</v>
      </c>
      <c r="AP26" t="s">
        <v>431</v>
      </c>
      <c r="AQ26" t="s">
        <v>432</v>
      </c>
      <c r="AR26" t="s">
        <v>433</v>
      </c>
      <c r="AS26" t="s">
        <v>434</v>
      </c>
      <c r="AT26" t="s">
        <v>435</v>
      </c>
      <c r="AU26" t="s">
        <v>436</v>
      </c>
    </row>
    <row r="27" spans="1:47">
      <c r="A27" t="s">
        <v>50</v>
      </c>
      <c r="B27" t="s">
        <v>101</v>
      </c>
      <c r="C27" t="s">
        <v>102</v>
      </c>
      <c r="D27" t="s">
        <v>103</v>
      </c>
      <c r="E27" t="s">
        <v>104</v>
      </c>
      <c r="F27" t="s">
        <v>105</v>
      </c>
      <c r="G27" t="s">
        <v>106</v>
      </c>
      <c r="H27" t="s">
        <v>107</v>
      </c>
      <c r="I27" t="s">
        <v>103</v>
      </c>
      <c r="J27" t="s">
        <v>108</v>
      </c>
      <c r="K27" t="s">
        <v>109</v>
      </c>
      <c r="L27" t="s">
        <v>51</v>
      </c>
      <c r="M27" t="s">
        <v>110</v>
      </c>
      <c r="N27" t="s">
        <v>111</v>
      </c>
      <c r="O27" t="s">
        <v>52</v>
      </c>
      <c r="P27" t="s">
        <v>112</v>
      </c>
      <c r="Q27" t="s">
        <v>113</v>
      </c>
      <c r="R27" t="s">
        <v>114</v>
      </c>
      <c r="S27" t="s">
        <v>115</v>
      </c>
      <c r="T27" t="s">
        <v>115</v>
      </c>
      <c r="U27" t="s">
        <v>115</v>
      </c>
      <c r="V27" t="s">
        <v>437</v>
      </c>
      <c r="W27" t="s">
        <v>438</v>
      </c>
      <c r="X27" t="s">
        <v>411</v>
      </c>
      <c r="Y27" t="s">
        <v>134</v>
      </c>
      <c r="Z27" t="s">
        <v>146</v>
      </c>
      <c r="AA27" t="s">
        <v>121</v>
      </c>
      <c r="AB27" t="s">
        <v>122</v>
      </c>
      <c r="AC27" t="s">
        <v>260</v>
      </c>
      <c r="AD27" t="s">
        <v>261</v>
      </c>
      <c r="AE27" t="s">
        <v>439</v>
      </c>
      <c r="AF27" t="s">
        <v>124</v>
      </c>
      <c r="AG27" t="s">
        <v>125</v>
      </c>
      <c r="AH27" t="s">
        <v>54</v>
      </c>
      <c r="AI27" t="s">
        <v>440</v>
      </c>
      <c r="AJ27" t="s">
        <v>441</v>
      </c>
      <c r="AK27" t="s">
        <v>54</v>
      </c>
      <c r="AL27" t="s">
        <v>54</v>
      </c>
      <c r="AM27" t="s">
        <v>442</v>
      </c>
      <c r="AN27" t="s">
        <v>443</v>
      </c>
      <c r="AO27" t="s">
        <v>444</v>
      </c>
      <c r="AP27" t="s">
        <v>445</v>
      </c>
      <c r="AQ27" t="s">
        <v>446</v>
      </c>
      <c r="AR27" t="s">
        <v>447</v>
      </c>
      <c r="AS27" t="s">
        <v>448</v>
      </c>
      <c r="AT27" t="s">
        <v>449</v>
      </c>
      <c r="AU27" t="s">
        <v>450</v>
      </c>
    </row>
    <row r="28" spans="1:47">
      <c r="A28" t="s">
        <v>50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103</v>
      </c>
      <c r="J28" t="s">
        <v>108</v>
      </c>
      <c r="K28" t="s">
        <v>109</v>
      </c>
      <c r="L28" t="s">
        <v>51</v>
      </c>
      <c r="M28" t="s">
        <v>110</v>
      </c>
      <c r="N28" t="s">
        <v>111</v>
      </c>
      <c r="O28" t="s">
        <v>52</v>
      </c>
      <c r="P28" t="s">
        <v>112</v>
      </c>
      <c r="Q28" t="s">
        <v>113</v>
      </c>
      <c r="R28" t="s">
        <v>114</v>
      </c>
      <c r="S28" t="s">
        <v>115</v>
      </c>
      <c r="T28" t="s">
        <v>115</v>
      </c>
      <c r="U28" t="s">
        <v>115</v>
      </c>
      <c r="V28" t="s">
        <v>451</v>
      </c>
      <c r="W28" t="s">
        <v>452</v>
      </c>
      <c r="X28" t="s">
        <v>411</v>
      </c>
      <c r="Y28" t="s">
        <v>146</v>
      </c>
      <c r="Z28" t="s">
        <v>119</v>
      </c>
      <c r="AA28" t="s">
        <v>121</v>
      </c>
      <c r="AB28" t="s">
        <v>122</v>
      </c>
      <c r="AC28" t="s">
        <v>260</v>
      </c>
      <c r="AD28" t="s">
        <v>261</v>
      </c>
      <c r="AE28" t="s">
        <v>453</v>
      </c>
      <c r="AF28" t="s">
        <v>124</v>
      </c>
      <c r="AG28" t="s">
        <v>125</v>
      </c>
      <c r="AH28" t="s">
        <v>54</v>
      </c>
      <c r="AI28" t="s">
        <v>454</v>
      </c>
      <c r="AJ28" t="s">
        <v>54</v>
      </c>
      <c r="AK28" t="s">
        <v>54</v>
      </c>
      <c r="AL28" t="s">
        <v>54</v>
      </c>
      <c r="AM28" t="s">
        <v>455</v>
      </c>
      <c r="AN28" t="s">
        <v>456</v>
      </c>
      <c r="AO28" t="s">
        <v>457</v>
      </c>
      <c r="AP28" t="s">
        <v>458</v>
      </c>
      <c r="AQ28" t="s">
        <v>459</v>
      </c>
      <c r="AR28" t="s">
        <v>460</v>
      </c>
      <c r="AS28" t="s">
        <v>461</v>
      </c>
      <c r="AT28" t="s">
        <v>462</v>
      </c>
      <c r="AU28" t="s">
        <v>463</v>
      </c>
    </row>
    <row r="29" spans="1:47">
      <c r="A29" t="s">
        <v>50</v>
      </c>
      <c r="B29" t="s">
        <v>101</v>
      </c>
      <c r="C29" t="s">
        <v>102</v>
      </c>
      <c r="D29" t="s">
        <v>103</v>
      </c>
      <c r="E29" t="s">
        <v>104</v>
      </c>
      <c r="F29" t="s">
        <v>105</v>
      </c>
      <c r="G29" t="s">
        <v>106</v>
      </c>
      <c r="H29" t="s">
        <v>107</v>
      </c>
      <c r="I29" t="s">
        <v>103</v>
      </c>
      <c r="J29" t="s">
        <v>108</v>
      </c>
      <c r="K29" t="s">
        <v>109</v>
      </c>
      <c r="L29" t="s">
        <v>51</v>
      </c>
      <c r="M29" t="s">
        <v>110</v>
      </c>
      <c r="N29" t="s">
        <v>111</v>
      </c>
      <c r="O29" t="s">
        <v>52</v>
      </c>
      <c r="P29" t="s">
        <v>112</v>
      </c>
      <c r="Q29" t="s">
        <v>113</v>
      </c>
      <c r="R29" t="s">
        <v>114</v>
      </c>
      <c r="S29" t="s">
        <v>115</v>
      </c>
      <c r="T29" t="s">
        <v>115</v>
      </c>
      <c r="U29" t="s">
        <v>115</v>
      </c>
      <c r="V29" t="s">
        <v>464</v>
      </c>
      <c r="W29" t="s">
        <v>465</v>
      </c>
      <c r="X29" t="s">
        <v>411</v>
      </c>
      <c r="Y29" t="s">
        <v>135</v>
      </c>
      <c r="Z29" t="s">
        <v>119</v>
      </c>
      <c r="AA29" t="s">
        <v>121</v>
      </c>
      <c r="AB29" t="s">
        <v>122</v>
      </c>
      <c r="AC29" t="s">
        <v>260</v>
      </c>
      <c r="AD29" t="s">
        <v>261</v>
      </c>
      <c r="AE29" t="s">
        <v>466</v>
      </c>
      <c r="AF29" t="s">
        <v>124</v>
      </c>
      <c r="AG29" t="s">
        <v>125</v>
      </c>
      <c r="AH29" t="s">
        <v>54</v>
      </c>
      <c r="AI29" t="s">
        <v>467</v>
      </c>
      <c r="AJ29" t="s">
        <v>468</v>
      </c>
      <c r="AK29" t="s">
        <v>469</v>
      </c>
      <c r="AL29" t="s">
        <v>54</v>
      </c>
      <c r="AM29" t="s">
        <v>470</v>
      </c>
      <c r="AN29" t="s">
        <v>471</v>
      </c>
      <c r="AO29" t="s">
        <v>472</v>
      </c>
      <c r="AP29" t="s">
        <v>473</v>
      </c>
      <c r="AQ29" t="s">
        <v>54</v>
      </c>
      <c r="AR29" t="s">
        <v>474</v>
      </c>
      <c r="AS29" t="s">
        <v>475</v>
      </c>
      <c r="AT29" t="s">
        <v>476</v>
      </c>
      <c r="AU29" t="s">
        <v>477</v>
      </c>
    </row>
    <row r="30" spans="1:47">
      <c r="A30" t="s">
        <v>50</v>
      </c>
      <c r="B30" t="s">
        <v>101</v>
      </c>
      <c r="C30" t="s">
        <v>102</v>
      </c>
      <c r="D30" t="s">
        <v>103</v>
      </c>
      <c r="E30" t="s">
        <v>104</v>
      </c>
      <c r="F30" t="s">
        <v>105</v>
      </c>
      <c r="G30" t="s">
        <v>106</v>
      </c>
      <c r="H30" t="s">
        <v>107</v>
      </c>
      <c r="I30" t="s">
        <v>103</v>
      </c>
      <c r="J30" t="s">
        <v>108</v>
      </c>
      <c r="K30" t="s">
        <v>109</v>
      </c>
      <c r="L30" t="s">
        <v>51</v>
      </c>
      <c r="M30" t="s">
        <v>110</v>
      </c>
      <c r="N30" t="s">
        <v>111</v>
      </c>
      <c r="O30" t="s">
        <v>52</v>
      </c>
      <c r="P30" t="s">
        <v>112</v>
      </c>
      <c r="Q30" t="s">
        <v>113</v>
      </c>
      <c r="R30" t="s">
        <v>114</v>
      </c>
      <c r="S30" t="s">
        <v>115</v>
      </c>
      <c r="T30" t="s">
        <v>115</v>
      </c>
      <c r="U30" t="s">
        <v>115</v>
      </c>
      <c r="V30" t="s">
        <v>478</v>
      </c>
      <c r="W30" t="s">
        <v>479</v>
      </c>
      <c r="X30" t="s">
        <v>411</v>
      </c>
      <c r="Y30" t="s">
        <v>160</v>
      </c>
      <c r="Z30" t="s">
        <v>187</v>
      </c>
      <c r="AA30" t="s">
        <v>121</v>
      </c>
      <c r="AB30" t="s">
        <v>122</v>
      </c>
      <c r="AC30" t="s">
        <v>260</v>
      </c>
      <c r="AD30" t="s">
        <v>261</v>
      </c>
      <c r="AE30" t="s">
        <v>480</v>
      </c>
      <c r="AF30" t="s">
        <v>124</v>
      </c>
      <c r="AG30" t="s">
        <v>125</v>
      </c>
      <c r="AH30" t="s">
        <v>54</v>
      </c>
      <c r="AI30" t="s">
        <v>481</v>
      </c>
      <c r="AJ30" t="s">
        <v>482</v>
      </c>
      <c r="AK30" t="s">
        <v>54</v>
      </c>
      <c r="AL30" t="s">
        <v>54</v>
      </c>
      <c r="AM30" t="s">
        <v>483</v>
      </c>
      <c r="AN30" t="s">
        <v>54</v>
      </c>
      <c r="AO30" t="s">
        <v>484</v>
      </c>
      <c r="AP30" t="s">
        <v>485</v>
      </c>
      <c r="AQ30" t="s">
        <v>486</v>
      </c>
      <c r="AR30" t="s">
        <v>487</v>
      </c>
      <c r="AS30" t="s">
        <v>488</v>
      </c>
      <c r="AT30" t="s">
        <v>489</v>
      </c>
      <c r="AU30" t="s">
        <v>490</v>
      </c>
    </row>
    <row r="31" spans="1:47">
      <c r="A31" t="s">
        <v>50</v>
      </c>
      <c r="B31" t="s">
        <v>101</v>
      </c>
      <c r="C31" t="s">
        <v>102</v>
      </c>
      <c r="D31" t="s">
        <v>103</v>
      </c>
      <c r="E31" t="s">
        <v>104</v>
      </c>
      <c r="F31" t="s">
        <v>105</v>
      </c>
      <c r="G31" t="s">
        <v>106</v>
      </c>
      <c r="H31" t="s">
        <v>107</v>
      </c>
      <c r="I31" t="s">
        <v>103</v>
      </c>
      <c r="J31" t="s">
        <v>108</v>
      </c>
      <c r="K31" t="s">
        <v>109</v>
      </c>
      <c r="L31" t="s">
        <v>51</v>
      </c>
      <c r="M31" t="s">
        <v>110</v>
      </c>
      <c r="N31" t="s">
        <v>111</v>
      </c>
      <c r="O31" t="s">
        <v>52</v>
      </c>
      <c r="P31" t="s">
        <v>112</v>
      </c>
      <c r="Q31" t="s">
        <v>113</v>
      </c>
      <c r="R31" t="s">
        <v>114</v>
      </c>
      <c r="S31" t="s">
        <v>115</v>
      </c>
      <c r="T31" t="s">
        <v>115</v>
      </c>
      <c r="U31" t="s">
        <v>115</v>
      </c>
      <c r="V31" t="s">
        <v>491</v>
      </c>
      <c r="W31" t="s">
        <v>492</v>
      </c>
      <c r="X31" t="s">
        <v>493</v>
      </c>
      <c r="Y31" t="s">
        <v>186</v>
      </c>
      <c r="Z31" t="s">
        <v>494</v>
      </c>
      <c r="AA31" t="s">
        <v>121</v>
      </c>
      <c r="AB31" t="s">
        <v>122</v>
      </c>
      <c r="AC31" t="s">
        <v>260</v>
      </c>
      <c r="AD31" t="s">
        <v>261</v>
      </c>
      <c r="AE31" t="s">
        <v>495</v>
      </c>
      <c r="AF31" t="s">
        <v>124</v>
      </c>
      <c r="AG31" t="s">
        <v>125</v>
      </c>
      <c r="AH31" t="s">
        <v>54</v>
      </c>
      <c r="AI31" t="s">
        <v>496</v>
      </c>
      <c r="AJ31" t="s">
        <v>497</v>
      </c>
      <c r="AK31" t="s">
        <v>54</v>
      </c>
      <c r="AL31" t="s">
        <v>54</v>
      </c>
      <c r="AM31" t="s">
        <v>54</v>
      </c>
      <c r="AN31" t="s">
        <v>54</v>
      </c>
      <c r="AO31" t="s">
        <v>498</v>
      </c>
      <c r="AP31" t="s">
        <v>499</v>
      </c>
      <c r="AQ31" t="s">
        <v>54</v>
      </c>
      <c r="AR31" t="s">
        <v>500</v>
      </c>
      <c r="AS31" t="s">
        <v>501</v>
      </c>
      <c r="AT31" t="s">
        <v>502</v>
      </c>
      <c r="AU31" t="s">
        <v>503</v>
      </c>
    </row>
    <row r="32" spans="1:47">
      <c r="A32" t="s">
        <v>50</v>
      </c>
      <c r="B32" t="s">
        <v>101</v>
      </c>
      <c r="C32" t="s">
        <v>102</v>
      </c>
      <c r="D32" t="s">
        <v>103</v>
      </c>
      <c r="E32" t="s">
        <v>104</v>
      </c>
      <c r="F32" t="s">
        <v>105</v>
      </c>
      <c r="G32" t="s">
        <v>106</v>
      </c>
      <c r="H32" t="s">
        <v>107</v>
      </c>
      <c r="I32" t="s">
        <v>103</v>
      </c>
      <c r="J32" t="s">
        <v>108</v>
      </c>
      <c r="K32" t="s">
        <v>109</v>
      </c>
      <c r="L32" t="s">
        <v>51</v>
      </c>
      <c r="M32" t="s">
        <v>110</v>
      </c>
      <c r="N32" t="s">
        <v>111</v>
      </c>
      <c r="O32" t="s">
        <v>52</v>
      </c>
      <c r="P32" t="s">
        <v>112</v>
      </c>
      <c r="Q32" t="s">
        <v>113</v>
      </c>
      <c r="R32" t="s">
        <v>114</v>
      </c>
      <c r="S32" t="s">
        <v>115</v>
      </c>
      <c r="T32" t="s">
        <v>115</v>
      </c>
      <c r="U32" t="s">
        <v>115</v>
      </c>
      <c r="V32" t="s">
        <v>504</v>
      </c>
      <c r="W32" t="s">
        <v>505</v>
      </c>
      <c r="X32" t="s">
        <v>493</v>
      </c>
      <c r="Y32" t="s">
        <v>119</v>
      </c>
      <c r="Z32" t="s">
        <v>160</v>
      </c>
      <c r="AA32" t="s">
        <v>121</v>
      </c>
      <c r="AB32" t="s">
        <v>122</v>
      </c>
      <c r="AC32" t="s">
        <v>260</v>
      </c>
      <c r="AD32" t="s">
        <v>261</v>
      </c>
      <c r="AE32" t="s">
        <v>506</v>
      </c>
      <c r="AF32" t="s">
        <v>124</v>
      </c>
      <c r="AG32" t="s">
        <v>125</v>
      </c>
      <c r="AH32" t="s">
        <v>54</v>
      </c>
      <c r="AI32" t="s">
        <v>507</v>
      </c>
      <c r="AJ32" t="s">
        <v>508</v>
      </c>
      <c r="AK32" t="s">
        <v>54</v>
      </c>
      <c r="AL32" t="s">
        <v>54</v>
      </c>
      <c r="AM32" t="s">
        <v>509</v>
      </c>
      <c r="AN32" t="s">
        <v>510</v>
      </c>
      <c r="AO32" t="s">
        <v>511</v>
      </c>
      <c r="AP32" t="s">
        <v>512</v>
      </c>
      <c r="AQ32" t="s">
        <v>54</v>
      </c>
      <c r="AR32" t="s">
        <v>513</v>
      </c>
      <c r="AS32" t="s">
        <v>514</v>
      </c>
      <c r="AT32" t="s">
        <v>515</v>
      </c>
      <c r="AU32" t="s">
        <v>516</v>
      </c>
    </row>
    <row r="33" spans="1:47">
      <c r="A33" t="s">
        <v>50</v>
      </c>
      <c r="B33" t="s">
        <v>101</v>
      </c>
      <c r="C33" t="s">
        <v>102</v>
      </c>
      <c r="D33" t="s">
        <v>103</v>
      </c>
      <c r="E33" t="s">
        <v>104</v>
      </c>
      <c r="F33" t="s">
        <v>105</v>
      </c>
      <c r="G33" t="s">
        <v>106</v>
      </c>
      <c r="H33" t="s">
        <v>107</v>
      </c>
      <c r="I33" t="s">
        <v>103</v>
      </c>
      <c r="J33" t="s">
        <v>108</v>
      </c>
      <c r="K33" t="s">
        <v>109</v>
      </c>
      <c r="L33" t="s">
        <v>51</v>
      </c>
      <c r="M33" t="s">
        <v>110</v>
      </c>
      <c r="N33" t="s">
        <v>111</v>
      </c>
      <c r="O33" t="s">
        <v>52</v>
      </c>
      <c r="P33" t="s">
        <v>112</v>
      </c>
      <c r="Q33" t="s">
        <v>113</v>
      </c>
      <c r="R33" t="s">
        <v>114</v>
      </c>
      <c r="S33" t="s">
        <v>115</v>
      </c>
      <c r="T33" t="s">
        <v>115</v>
      </c>
      <c r="U33" t="s">
        <v>115</v>
      </c>
      <c r="V33" t="s">
        <v>517</v>
      </c>
      <c r="W33" t="s">
        <v>518</v>
      </c>
      <c r="X33" t="s">
        <v>493</v>
      </c>
      <c r="Y33" t="s">
        <v>134</v>
      </c>
      <c r="Z33" t="s">
        <v>160</v>
      </c>
      <c r="AA33" t="s">
        <v>121</v>
      </c>
      <c r="AB33" t="s">
        <v>122</v>
      </c>
      <c r="AC33" t="s">
        <v>260</v>
      </c>
      <c r="AD33" t="s">
        <v>261</v>
      </c>
      <c r="AE33" t="s">
        <v>519</v>
      </c>
      <c r="AF33" t="s">
        <v>124</v>
      </c>
      <c r="AG33" t="s">
        <v>125</v>
      </c>
      <c r="AH33" t="s">
        <v>54</v>
      </c>
      <c r="AI33" t="s">
        <v>520</v>
      </c>
      <c r="AJ33" t="s">
        <v>521</v>
      </c>
      <c r="AK33" t="s">
        <v>54</v>
      </c>
      <c r="AL33" t="s">
        <v>54</v>
      </c>
      <c r="AM33" t="s">
        <v>522</v>
      </c>
      <c r="AN33" t="s">
        <v>523</v>
      </c>
      <c r="AO33" t="s">
        <v>524</v>
      </c>
      <c r="AP33" t="s">
        <v>525</v>
      </c>
      <c r="AQ33" t="s">
        <v>54</v>
      </c>
      <c r="AR33" t="s">
        <v>526</v>
      </c>
      <c r="AS33" t="s">
        <v>527</v>
      </c>
      <c r="AT33" t="s">
        <v>528</v>
      </c>
      <c r="AU33" t="s">
        <v>529</v>
      </c>
    </row>
    <row r="34" spans="1:47">
      <c r="A34" t="s">
        <v>50</v>
      </c>
      <c r="B34" t="s">
        <v>101</v>
      </c>
      <c r="C34" t="s">
        <v>102</v>
      </c>
      <c r="D34" t="s">
        <v>103</v>
      </c>
      <c r="E34" t="s">
        <v>104</v>
      </c>
      <c r="F34" t="s">
        <v>105</v>
      </c>
      <c r="G34" t="s">
        <v>106</v>
      </c>
      <c r="H34" t="s">
        <v>107</v>
      </c>
      <c r="I34" t="s">
        <v>103</v>
      </c>
      <c r="J34" t="s">
        <v>108</v>
      </c>
      <c r="K34" t="s">
        <v>109</v>
      </c>
      <c r="L34" t="s">
        <v>51</v>
      </c>
      <c r="M34" t="s">
        <v>110</v>
      </c>
      <c r="N34" t="s">
        <v>111</v>
      </c>
      <c r="O34" t="s">
        <v>52</v>
      </c>
      <c r="P34" t="s">
        <v>112</v>
      </c>
      <c r="Q34" t="s">
        <v>113</v>
      </c>
      <c r="R34" t="s">
        <v>114</v>
      </c>
      <c r="S34" t="s">
        <v>115</v>
      </c>
      <c r="T34" t="s">
        <v>115</v>
      </c>
      <c r="U34" t="s">
        <v>115</v>
      </c>
      <c r="V34" t="s">
        <v>530</v>
      </c>
      <c r="W34" t="s">
        <v>531</v>
      </c>
      <c r="X34" t="s">
        <v>493</v>
      </c>
      <c r="Y34" t="s">
        <v>146</v>
      </c>
      <c r="Z34" t="s">
        <v>186</v>
      </c>
      <c r="AA34" t="s">
        <v>121</v>
      </c>
      <c r="AB34" t="s">
        <v>122</v>
      </c>
      <c r="AC34" t="s">
        <v>260</v>
      </c>
      <c r="AD34" t="s">
        <v>261</v>
      </c>
      <c r="AE34" t="s">
        <v>532</v>
      </c>
      <c r="AF34" t="s">
        <v>124</v>
      </c>
      <c r="AG34" t="s">
        <v>125</v>
      </c>
      <c r="AH34" t="s">
        <v>533</v>
      </c>
      <c r="AI34" t="s">
        <v>534</v>
      </c>
      <c r="AJ34" t="s">
        <v>535</v>
      </c>
      <c r="AK34" t="s">
        <v>54</v>
      </c>
      <c r="AL34" t="s">
        <v>54</v>
      </c>
      <c r="AM34" t="s">
        <v>536</v>
      </c>
      <c r="AN34" t="s">
        <v>537</v>
      </c>
      <c r="AO34" t="s">
        <v>538</v>
      </c>
      <c r="AP34" t="s">
        <v>539</v>
      </c>
      <c r="AQ34" t="s">
        <v>489</v>
      </c>
      <c r="AR34" t="s">
        <v>540</v>
      </c>
      <c r="AS34" t="s">
        <v>541</v>
      </c>
      <c r="AT34" t="s">
        <v>542</v>
      </c>
      <c r="AU34" t="s">
        <v>543</v>
      </c>
    </row>
    <row r="35" spans="1:47">
      <c r="A35" t="s">
        <v>50</v>
      </c>
      <c r="B35" t="s">
        <v>101</v>
      </c>
      <c r="C35" t="s">
        <v>102</v>
      </c>
      <c r="D35" t="s">
        <v>103</v>
      </c>
      <c r="E35" t="s">
        <v>104</v>
      </c>
      <c r="F35" t="s">
        <v>105</v>
      </c>
      <c r="G35" t="s">
        <v>106</v>
      </c>
      <c r="H35" t="s">
        <v>107</v>
      </c>
      <c r="I35" t="s">
        <v>103</v>
      </c>
      <c r="J35" t="s">
        <v>108</v>
      </c>
      <c r="K35" t="s">
        <v>109</v>
      </c>
      <c r="L35" t="s">
        <v>51</v>
      </c>
      <c r="M35" t="s">
        <v>110</v>
      </c>
      <c r="N35" t="s">
        <v>111</v>
      </c>
      <c r="O35" t="s">
        <v>52</v>
      </c>
      <c r="P35" t="s">
        <v>112</v>
      </c>
      <c r="Q35" t="s">
        <v>113</v>
      </c>
      <c r="R35" t="s">
        <v>114</v>
      </c>
      <c r="S35" t="s">
        <v>115</v>
      </c>
      <c r="T35" t="s">
        <v>115</v>
      </c>
      <c r="U35" t="s">
        <v>115</v>
      </c>
      <c r="V35" t="s">
        <v>544</v>
      </c>
      <c r="W35" t="s">
        <v>545</v>
      </c>
      <c r="X35" t="s">
        <v>493</v>
      </c>
      <c r="Y35" t="s">
        <v>135</v>
      </c>
      <c r="Z35" t="s">
        <v>187</v>
      </c>
      <c r="AA35" t="s">
        <v>121</v>
      </c>
      <c r="AB35" t="s">
        <v>122</v>
      </c>
      <c r="AC35" t="s">
        <v>260</v>
      </c>
      <c r="AD35" t="s">
        <v>261</v>
      </c>
      <c r="AE35" t="s">
        <v>546</v>
      </c>
      <c r="AF35" t="s">
        <v>124</v>
      </c>
      <c r="AG35" t="s">
        <v>125</v>
      </c>
      <c r="AH35" t="s">
        <v>54</v>
      </c>
      <c r="AI35" t="s">
        <v>547</v>
      </c>
      <c r="AJ35" t="s">
        <v>548</v>
      </c>
      <c r="AK35" t="s">
        <v>54</v>
      </c>
      <c r="AL35" t="s">
        <v>54</v>
      </c>
      <c r="AM35" t="s">
        <v>549</v>
      </c>
      <c r="AN35" t="s">
        <v>550</v>
      </c>
      <c r="AO35" t="s">
        <v>551</v>
      </c>
      <c r="AP35" t="s">
        <v>552</v>
      </c>
      <c r="AQ35" t="s">
        <v>54</v>
      </c>
      <c r="AR35" t="s">
        <v>553</v>
      </c>
      <c r="AS35" t="s">
        <v>554</v>
      </c>
      <c r="AT35" t="s">
        <v>555</v>
      </c>
      <c r="AU35" t="s">
        <v>556</v>
      </c>
    </row>
    <row r="36" spans="1:47">
      <c r="A36" t="s">
        <v>50</v>
      </c>
      <c r="B36" t="s">
        <v>101</v>
      </c>
      <c r="C36" t="s">
        <v>102</v>
      </c>
      <c r="D36" t="s">
        <v>103</v>
      </c>
      <c r="E36" t="s">
        <v>104</v>
      </c>
      <c r="F36" t="s">
        <v>105</v>
      </c>
      <c r="G36" t="s">
        <v>106</v>
      </c>
      <c r="H36" t="s">
        <v>107</v>
      </c>
      <c r="I36" t="s">
        <v>103</v>
      </c>
      <c r="J36" t="s">
        <v>108</v>
      </c>
      <c r="K36" t="s">
        <v>109</v>
      </c>
      <c r="L36" t="s">
        <v>51</v>
      </c>
      <c r="M36" t="s">
        <v>110</v>
      </c>
      <c r="N36" t="s">
        <v>111</v>
      </c>
      <c r="O36" t="s">
        <v>52</v>
      </c>
      <c r="P36" t="s">
        <v>112</v>
      </c>
      <c r="Q36" t="s">
        <v>113</v>
      </c>
      <c r="R36" t="s">
        <v>114</v>
      </c>
      <c r="S36" t="s">
        <v>115</v>
      </c>
      <c r="T36" t="s">
        <v>115</v>
      </c>
      <c r="U36" t="s">
        <v>115</v>
      </c>
      <c r="V36" t="s">
        <v>557</v>
      </c>
      <c r="W36" t="s">
        <v>558</v>
      </c>
      <c r="X36" t="s">
        <v>493</v>
      </c>
      <c r="Y36" t="s">
        <v>160</v>
      </c>
      <c r="Z36" t="s">
        <v>559</v>
      </c>
      <c r="AA36" t="s">
        <v>121</v>
      </c>
      <c r="AB36" t="s">
        <v>122</v>
      </c>
      <c r="AC36" t="s">
        <v>260</v>
      </c>
      <c r="AD36" t="s">
        <v>261</v>
      </c>
      <c r="AE36" t="s">
        <v>560</v>
      </c>
      <c r="AF36" t="s">
        <v>124</v>
      </c>
      <c r="AG36" t="s">
        <v>125</v>
      </c>
      <c r="AH36" t="s">
        <v>54</v>
      </c>
      <c r="AI36" t="s">
        <v>561</v>
      </c>
      <c r="AJ36" t="s">
        <v>562</v>
      </c>
      <c r="AK36" t="s">
        <v>54</v>
      </c>
      <c r="AL36" t="s">
        <v>54</v>
      </c>
      <c r="AM36" t="s">
        <v>54</v>
      </c>
      <c r="AN36" t="s">
        <v>54</v>
      </c>
      <c r="AO36" t="s">
        <v>563</v>
      </c>
      <c r="AP36" t="s">
        <v>564</v>
      </c>
      <c r="AQ36" t="s">
        <v>54</v>
      </c>
      <c r="AR36" t="s">
        <v>565</v>
      </c>
      <c r="AS36" t="s">
        <v>566</v>
      </c>
      <c r="AT36" t="s">
        <v>567</v>
      </c>
      <c r="AU36" t="s">
        <v>568</v>
      </c>
    </row>
    <row r="37" spans="1:47">
      <c r="A37" t="s">
        <v>50</v>
      </c>
      <c r="B37" t="s">
        <v>101</v>
      </c>
      <c r="C37" t="s">
        <v>102</v>
      </c>
      <c r="D37" t="s">
        <v>103</v>
      </c>
      <c r="E37" t="s">
        <v>104</v>
      </c>
      <c r="F37" t="s">
        <v>105</v>
      </c>
      <c r="G37" t="s">
        <v>106</v>
      </c>
      <c r="H37" t="s">
        <v>107</v>
      </c>
      <c r="I37" t="s">
        <v>103</v>
      </c>
      <c r="J37" t="s">
        <v>108</v>
      </c>
      <c r="K37" t="s">
        <v>109</v>
      </c>
      <c r="L37" t="s">
        <v>51</v>
      </c>
      <c r="M37" t="s">
        <v>110</v>
      </c>
      <c r="N37" t="s">
        <v>111</v>
      </c>
      <c r="O37" t="s">
        <v>52</v>
      </c>
      <c r="P37" t="s">
        <v>112</v>
      </c>
      <c r="Q37" t="s">
        <v>113</v>
      </c>
      <c r="R37" t="s">
        <v>114</v>
      </c>
      <c r="S37" t="s">
        <v>115</v>
      </c>
      <c r="T37" t="s">
        <v>115</v>
      </c>
      <c r="U37" t="s">
        <v>115</v>
      </c>
      <c r="V37" t="s">
        <v>569</v>
      </c>
      <c r="W37" t="s">
        <v>570</v>
      </c>
      <c r="X37" t="s">
        <v>571</v>
      </c>
      <c r="Y37" t="s">
        <v>186</v>
      </c>
      <c r="Z37" t="s">
        <v>247</v>
      </c>
      <c r="AA37" t="s">
        <v>121</v>
      </c>
      <c r="AB37" t="s">
        <v>122</v>
      </c>
      <c r="AC37" t="s">
        <v>260</v>
      </c>
      <c r="AD37" t="s">
        <v>261</v>
      </c>
      <c r="AE37" t="s">
        <v>572</v>
      </c>
      <c r="AF37" t="s">
        <v>124</v>
      </c>
      <c r="AG37" t="s">
        <v>125</v>
      </c>
      <c r="AH37" t="s">
        <v>54</v>
      </c>
      <c r="AI37" t="s">
        <v>573</v>
      </c>
      <c r="AJ37" t="s">
        <v>574</v>
      </c>
      <c r="AK37" t="s">
        <v>54</v>
      </c>
      <c r="AL37" t="s">
        <v>54</v>
      </c>
      <c r="AM37" t="s">
        <v>54</v>
      </c>
      <c r="AN37" t="s">
        <v>54</v>
      </c>
      <c r="AO37" t="s">
        <v>575</v>
      </c>
      <c r="AP37" t="s">
        <v>576</v>
      </c>
      <c r="AQ37" t="s">
        <v>577</v>
      </c>
      <c r="AR37" t="s">
        <v>578</v>
      </c>
      <c r="AS37" t="s">
        <v>579</v>
      </c>
      <c r="AT37" t="s">
        <v>564</v>
      </c>
      <c r="AU37" t="s">
        <v>580</v>
      </c>
    </row>
    <row r="38" spans="1:47">
      <c r="A38" t="s">
        <v>50</v>
      </c>
      <c r="B38" t="s">
        <v>101</v>
      </c>
      <c r="C38" t="s">
        <v>102</v>
      </c>
      <c r="D38" t="s">
        <v>103</v>
      </c>
      <c r="E38" t="s">
        <v>104</v>
      </c>
      <c r="F38" t="s">
        <v>105</v>
      </c>
      <c r="G38" t="s">
        <v>106</v>
      </c>
      <c r="H38" t="s">
        <v>107</v>
      </c>
      <c r="I38" t="s">
        <v>103</v>
      </c>
      <c r="J38" t="s">
        <v>108</v>
      </c>
      <c r="K38" t="s">
        <v>109</v>
      </c>
      <c r="L38" t="s">
        <v>51</v>
      </c>
      <c r="M38" t="s">
        <v>110</v>
      </c>
      <c r="N38" t="s">
        <v>111</v>
      </c>
      <c r="O38" t="s">
        <v>52</v>
      </c>
      <c r="P38" t="s">
        <v>112</v>
      </c>
      <c r="Q38" t="s">
        <v>113</v>
      </c>
      <c r="R38" t="s">
        <v>114</v>
      </c>
      <c r="S38" t="s">
        <v>115</v>
      </c>
      <c r="T38" t="s">
        <v>115</v>
      </c>
      <c r="U38" t="s">
        <v>115</v>
      </c>
      <c r="V38" t="s">
        <v>581</v>
      </c>
      <c r="W38" t="s">
        <v>582</v>
      </c>
      <c r="X38" t="s">
        <v>571</v>
      </c>
      <c r="Y38" t="s">
        <v>119</v>
      </c>
      <c r="Z38" t="s">
        <v>146</v>
      </c>
      <c r="AA38" t="s">
        <v>121</v>
      </c>
      <c r="AB38" t="s">
        <v>122</v>
      </c>
      <c r="AC38" t="s">
        <v>260</v>
      </c>
      <c r="AD38" t="s">
        <v>261</v>
      </c>
      <c r="AE38" t="s">
        <v>583</v>
      </c>
      <c r="AF38" t="s">
        <v>124</v>
      </c>
      <c r="AG38" t="s">
        <v>125</v>
      </c>
      <c r="AH38" t="s">
        <v>54</v>
      </c>
      <c r="AI38" t="s">
        <v>54</v>
      </c>
      <c r="AJ38" t="s">
        <v>54</v>
      </c>
      <c r="AK38" t="s">
        <v>54</v>
      </c>
      <c r="AL38" t="s">
        <v>54</v>
      </c>
      <c r="AM38" t="s">
        <v>54</v>
      </c>
      <c r="AN38" t="s">
        <v>54</v>
      </c>
      <c r="AO38" t="s">
        <v>584</v>
      </c>
      <c r="AP38" t="s">
        <v>585</v>
      </c>
      <c r="AQ38" t="s">
        <v>490</v>
      </c>
      <c r="AR38" t="s">
        <v>54</v>
      </c>
      <c r="AS38" t="s">
        <v>586</v>
      </c>
      <c r="AT38" t="s">
        <v>568</v>
      </c>
      <c r="AU38" t="s">
        <v>587</v>
      </c>
    </row>
    <row r="39" spans="1:47">
      <c r="A39" t="s">
        <v>50</v>
      </c>
      <c r="B39" t="s">
        <v>101</v>
      </c>
      <c r="C39" t="s">
        <v>102</v>
      </c>
      <c r="D39" t="s">
        <v>103</v>
      </c>
      <c r="E39" t="s">
        <v>104</v>
      </c>
      <c r="F39" t="s">
        <v>105</v>
      </c>
      <c r="G39" t="s">
        <v>106</v>
      </c>
      <c r="H39" t="s">
        <v>107</v>
      </c>
      <c r="I39" t="s">
        <v>103</v>
      </c>
      <c r="J39" t="s">
        <v>108</v>
      </c>
      <c r="K39" t="s">
        <v>109</v>
      </c>
      <c r="L39" t="s">
        <v>51</v>
      </c>
      <c r="M39" t="s">
        <v>110</v>
      </c>
      <c r="N39" t="s">
        <v>111</v>
      </c>
      <c r="O39" t="s">
        <v>52</v>
      </c>
      <c r="P39" t="s">
        <v>112</v>
      </c>
      <c r="Q39" t="s">
        <v>113</v>
      </c>
      <c r="R39" t="s">
        <v>114</v>
      </c>
      <c r="S39" t="s">
        <v>115</v>
      </c>
      <c r="T39" t="s">
        <v>115</v>
      </c>
      <c r="U39" t="s">
        <v>115</v>
      </c>
      <c r="V39" t="s">
        <v>588</v>
      </c>
      <c r="W39" t="s">
        <v>589</v>
      </c>
      <c r="X39" t="s">
        <v>571</v>
      </c>
      <c r="Y39" t="s">
        <v>134</v>
      </c>
      <c r="Z39" t="s">
        <v>186</v>
      </c>
      <c r="AA39" t="s">
        <v>121</v>
      </c>
      <c r="AB39" t="s">
        <v>122</v>
      </c>
      <c r="AC39" t="s">
        <v>260</v>
      </c>
      <c r="AD39" t="s">
        <v>261</v>
      </c>
      <c r="AE39" t="s">
        <v>590</v>
      </c>
      <c r="AF39" t="s">
        <v>124</v>
      </c>
      <c r="AG39" t="s">
        <v>125</v>
      </c>
      <c r="AH39" t="s">
        <v>591</v>
      </c>
      <c r="AI39" t="s">
        <v>592</v>
      </c>
      <c r="AJ39" t="s">
        <v>593</v>
      </c>
      <c r="AK39" t="s">
        <v>54</v>
      </c>
      <c r="AL39" t="s">
        <v>54</v>
      </c>
      <c r="AM39" t="s">
        <v>594</v>
      </c>
      <c r="AN39" t="s">
        <v>54</v>
      </c>
      <c r="AO39" t="s">
        <v>595</v>
      </c>
      <c r="AP39" t="s">
        <v>596</v>
      </c>
      <c r="AQ39" t="s">
        <v>54</v>
      </c>
      <c r="AR39" t="s">
        <v>597</v>
      </c>
      <c r="AS39" t="s">
        <v>598</v>
      </c>
      <c r="AT39" t="s">
        <v>599</v>
      </c>
      <c r="AU39" t="s">
        <v>600</v>
      </c>
    </row>
    <row r="40" spans="1:47">
      <c r="A40" t="s">
        <v>50</v>
      </c>
      <c r="B40" t="s">
        <v>101</v>
      </c>
      <c r="C40" t="s">
        <v>102</v>
      </c>
      <c r="D40" t="s">
        <v>103</v>
      </c>
      <c r="E40" t="s">
        <v>104</v>
      </c>
      <c r="F40" t="s">
        <v>105</v>
      </c>
      <c r="G40" t="s">
        <v>106</v>
      </c>
      <c r="H40" t="s">
        <v>107</v>
      </c>
      <c r="I40" t="s">
        <v>103</v>
      </c>
      <c r="J40" t="s">
        <v>108</v>
      </c>
      <c r="K40" t="s">
        <v>109</v>
      </c>
      <c r="L40" t="s">
        <v>51</v>
      </c>
      <c r="M40" t="s">
        <v>110</v>
      </c>
      <c r="N40" t="s">
        <v>111</v>
      </c>
      <c r="O40" t="s">
        <v>52</v>
      </c>
      <c r="P40" t="s">
        <v>112</v>
      </c>
      <c r="Q40" t="s">
        <v>113</v>
      </c>
      <c r="R40" t="s">
        <v>114</v>
      </c>
      <c r="S40" t="s">
        <v>115</v>
      </c>
      <c r="T40" t="s">
        <v>115</v>
      </c>
      <c r="U40" t="s">
        <v>115</v>
      </c>
      <c r="V40" t="s">
        <v>601</v>
      </c>
      <c r="W40" t="s">
        <v>602</v>
      </c>
      <c r="X40" t="s">
        <v>571</v>
      </c>
      <c r="Y40" t="s">
        <v>146</v>
      </c>
      <c r="Z40" t="s">
        <v>212</v>
      </c>
      <c r="AA40" t="s">
        <v>121</v>
      </c>
      <c r="AB40" t="s">
        <v>122</v>
      </c>
      <c r="AC40" t="s">
        <v>260</v>
      </c>
      <c r="AD40" t="s">
        <v>261</v>
      </c>
      <c r="AE40" t="s">
        <v>603</v>
      </c>
      <c r="AF40" t="s">
        <v>124</v>
      </c>
      <c r="AG40" t="s">
        <v>125</v>
      </c>
      <c r="AH40" t="s">
        <v>604</v>
      </c>
      <c r="AI40" t="s">
        <v>605</v>
      </c>
      <c r="AJ40" t="s">
        <v>606</v>
      </c>
      <c r="AK40" t="s">
        <v>54</v>
      </c>
      <c r="AL40" t="s">
        <v>54</v>
      </c>
      <c r="AM40" t="s">
        <v>54</v>
      </c>
      <c r="AN40" t="s">
        <v>607</v>
      </c>
      <c r="AO40" t="s">
        <v>608</v>
      </c>
      <c r="AP40" t="s">
        <v>609</v>
      </c>
      <c r="AQ40" t="s">
        <v>610</v>
      </c>
      <c r="AR40" t="s">
        <v>611</v>
      </c>
      <c r="AS40" t="s">
        <v>612</v>
      </c>
      <c r="AT40" t="s">
        <v>613</v>
      </c>
      <c r="AU40" t="s">
        <v>614</v>
      </c>
    </row>
    <row r="41" spans="1:47">
      <c r="A41" t="s">
        <v>50</v>
      </c>
      <c r="B41" t="s">
        <v>101</v>
      </c>
      <c r="C41" t="s">
        <v>102</v>
      </c>
      <c r="D41" t="s">
        <v>103</v>
      </c>
      <c r="E41" t="s">
        <v>104</v>
      </c>
      <c r="F41" t="s">
        <v>105</v>
      </c>
      <c r="G41" t="s">
        <v>106</v>
      </c>
      <c r="H41" t="s">
        <v>107</v>
      </c>
      <c r="I41" t="s">
        <v>103</v>
      </c>
      <c r="J41" t="s">
        <v>108</v>
      </c>
      <c r="K41" t="s">
        <v>109</v>
      </c>
      <c r="L41" t="s">
        <v>51</v>
      </c>
      <c r="M41" t="s">
        <v>110</v>
      </c>
      <c r="N41" t="s">
        <v>111</v>
      </c>
      <c r="O41" t="s">
        <v>52</v>
      </c>
      <c r="P41" t="s">
        <v>112</v>
      </c>
      <c r="Q41" t="s">
        <v>113</v>
      </c>
      <c r="R41" t="s">
        <v>114</v>
      </c>
      <c r="S41" t="s">
        <v>115</v>
      </c>
      <c r="T41" t="s">
        <v>115</v>
      </c>
      <c r="U41" t="s">
        <v>115</v>
      </c>
      <c r="V41" t="s">
        <v>615</v>
      </c>
      <c r="W41" t="s">
        <v>616</v>
      </c>
      <c r="X41" t="s">
        <v>571</v>
      </c>
      <c r="Y41" t="s">
        <v>135</v>
      </c>
      <c r="Z41" t="s">
        <v>259</v>
      </c>
      <c r="AA41" t="s">
        <v>121</v>
      </c>
      <c r="AB41" t="s">
        <v>122</v>
      </c>
      <c r="AC41" t="s">
        <v>260</v>
      </c>
      <c r="AD41" t="s">
        <v>261</v>
      </c>
      <c r="AE41" t="s">
        <v>617</v>
      </c>
      <c r="AF41" t="s">
        <v>124</v>
      </c>
      <c r="AG41" t="s">
        <v>125</v>
      </c>
      <c r="AH41" t="s">
        <v>54</v>
      </c>
      <c r="AI41" t="s">
        <v>618</v>
      </c>
      <c r="AJ41" t="s">
        <v>619</v>
      </c>
      <c r="AK41" t="s">
        <v>54</v>
      </c>
      <c r="AL41" t="s">
        <v>54</v>
      </c>
      <c r="AM41" t="s">
        <v>620</v>
      </c>
      <c r="AN41" t="s">
        <v>54</v>
      </c>
      <c r="AO41" t="s">
        <v>621</v>
      </c>
      <c r="AP41" t="s">
        <v>622</v>
      </c>
      <c r="AQ41" t="s">
        <v>54</v>
      </c>
      <c r="AR41" t="s">
        <v>623</v>
      </c>
      <c r="AS41" t="s">
        <v>624</v>
      </c>
      <c r="AT41" t="s">
        <v>625</v>
      </c>
      <c r="AU41" t="s">
        <v>626</v>
      </c>
    </row>
    <row r="42" spans="1:47">
      <c r="A42" t="s">
        <v>50</v>
      </c>
      <c r="B42" t="s">
        <v>101</v>
      </c>
      <c r="C42" t="s">
        <v>102</v>
      </c>
      <c r="D42" t="s">
        <v>103</v>
      </c>
      <c r="E42" t="s">
        <v>104</v>
      </c>
      <c r="F42" t="s">
        <v>105</v>
      </c>
      <c r="G42" t="s">
        <v>106</v>
      </c>
      <c r="H42" t="s">
        <v>107</v>
      </c>
      <c r="I42" t="s">
        <v>103</v>
      </c>
      <c r="J42" t="s">
        <v>108</v>
      </c>
      <c r="K42" t="s">
        <v>109</v>
      </c>
      <c r="L42" t="s">
        <v>51</v>
      </c>
      <c r="M42" t="s">
        <v>110</v>
      </c>
      <c r="N42" t="s">
        <v>111</v>
      </c>
      <c r="O42" t="s">
        <v>52</v>
      </c>
      <c r="P42" t="s">
        <v>112</v>
      </c>
      <c r="Q42" t="s">
        <v>113</v>
      </c>
      <c r="R42" t="s">
        <v>114</v>
      </c>
      <c r="S42" t="s">
        <v>115</v>
      </c>
      <c r="T42" t="s">
        <v>115</v>
      </c>
      <c r="U42" t="s">
        <v>115</v>
      </c>
      <c r="V42" t="s">
        <v>627</v>
      </c>
      <c r="W42" t="s">
        <v>628</v>
      </c>
      <c r="X42" t="s">
        <v>571</v>
      </c>
      <c r="Y42" t="s">
        <v>160</v>
      </c>
      <c r="Z42" t="s">
        <v>134</v>
      </c>
      <c r="AA42" t="s">
        <v>121</v>
      </c>
      <c r="AB42" t="s">
        <v>122</v>
      </c>
      <c r="AC42" t="s">
        <v>260</v>
      </c>
      <c r="AD42" t="s">
        <v>261</v>
      </c>
      <c r="AE42" t="s">
        <v>629</v>
      </c>
      <c r="AF42" t="s">
        <v>124</v>
      </c>
      <c r="AG42" t="s">
        <v>125</v>
      </c>
      <c r="AH42" t="s">
        <v>54</v>
      </c>
      <c r="AI42" t="s">
        <v>630</v>
      </c>
      <c r="AJ42" t="s">
        <v>631</v>
      </c>
      <c r="AK42" t="s">
        <v>54</v>
      </c>
      <c r="AL42" t="s">
        <v>54</v>
      </c>
      <c r="AM42" t="s">
        <v>632</v>
      </c>
      <c r="AN42" t="s">
        <v>54</v>
      </c>
      <c r="AO42" t="s">
        <v>633</v>
      </c>
      <c r="AP42" t="s">
        <v>634</v>
      </c>
      <c r="AQ42" t="s">
        <v>54</v>
      </c>
      <c r="AR42" t="s">
        <v>635</v>
      </c>
      <c r="AS42" t="s">
        <v>636</v>
      </c>
      <c r="AT42" t="s">
        <v>637</v>
      </c>
      <c r="AU42" t="s">
        <v>483</v>
      </c>
    </row>
    <row r="43" spans="1:47">
      <c r="A43" t="s">
        <v>50</v>
      </c>
      <c r="B43" t="s">
        <v>101</v>
      </c>
      <c r="C43" t="s">
        <v>102</v>
      </c>
      <c r="D43" t="s">
        <v>103</v>
      </c>
      <c r="E43" t="s">
        <v>104</v>
      </c>
      <c r="F43" t="s">
        <v>105</v>
      </c>
      <c r="G43" t="s">
        <v>106</v>
      </c>
      <c r="H43" t="s">
        <v>107</v>
      </c>
      <c r="I43" t="s">
        <v>103</v>
      </c>
      <c r="J43" t="s">
        <v>108</v>
      </c>
      <c r="K43" t="s">
        <v>109</v>
      </c>
      <c r="L43" t="s">
        <v>51</v>
      </c>
      <c r="M43" t="s">
        <v>110</v>
      </c>
      <c r="N43" t="s">
        <v>111</v>
      </c>
      <c r="O43" t="s">
        <v>52</v>
      </c>
      <c r="P43" t="s">
        <v>112</v>
      </c>
      <c r="Q43" t="s">
        <v>113</v>
      </c>
      <c r="R43" t="s">
        <v>114</v>
      </c>
      <c r="S43" t="s">
        <v>115</v>
      </c>
      <c r="T43" t="s">
        <v>115</v>
      </c>
      <c r="U43" t="s">
        <v>115</v>
      </c>
      <c r="V43" t="s">
        <v>638</v>
      </c>
      <c r="W43" t="s">
        <v>639</v>
      </c>
      <c r="X43" t="s">
        <v>640</v>
      </c>
      <c r="Y43" t="s">
        <v>186</v>
      </c>
      <c r="Z43" t="s">
        <v>187</v>
      </c>
      <c r="AA43" t="s">
        <v>121</v>
      </c>
      <c r="AB43" t="s">
        <v>122</v>
      </c>
      <c r="AC43" t="s">
        <v>260</v>
      </c>
      <c r="AD43" t="s">
        <v>261</v>
      </c>
      <c r="AE43" t="s">
        <v>641</v>
      </c>
      <c r="AF43" t="s">
        <v>124</v>
      </c>
      <c r="AG43" t="s">
        <v>125</v>
      </c>
      <c r="AH43" t="s">
        <v>54</v>
      </c>
      <c r="AI43" t="s">
        <v>642</v>
      </c>
      <c r="AJ43" t="s">
        <v>643</v>
      </c>
      <c r="AK43" t="s">
        <v>54</v>
      </c>
      <c r="AL43" t="s">
        <v>54</v>
      </c>
      <c r="AM43" t="s">
        <v>54</v>
      </c>
      <c r="AN43" t="s">
        <v>54</v>
      </c>
      <c r="AO43" t="s">
        <v>644</v>
      </c>
      <c r="AP43" t="s">
        <v>645</v>
      </c>
      <c r="AQ43" t="s">
        <v>646</v>
      </c>
      <c r="AR43" t="s">
        <v>647</v>
      </c>
      <c r="AS43" t="s">
        <v>648</v>
      </c>
      <c r="AT43" t="s">
        <v>496</v>
      </c>
      <c r="AU43" t="s">
        <v>649</v>
      </c>
    </row>
    <row r="44" spans="1:47">
      <c r="A44" t="s">
        <v>50</v>
      </c>
      <c r="B44" t="s">
        <v>101</v>
      </c>
      <c r="C44" t="s">
        <v>102</v>
      </c>
      <c r="D44" t="s">
        <v>103</v>
      </c>
      <c r="E44" t="s">
        <v>104</v>
      </c>
      <c r="F44" t="s">
        <v>105</v>
      </c>
      <c r="G44" t="s">
        <v>106</v>
      </c>
      <c r="H44" t="s">
        <v>107</v>
      </c>
      <c r="I44" t="s">
        <v>103</v>
      </c>
      <c r="J44" t="s">
        <v>108</v>
      </c>
      <c r="K44" t="s">
        <v>109</v>
      </c>
      <c r="L44" t="s">
        <v>51</v>
      </c>
      <c r="M44" t="s">
        <v>110</v>
      </c>
      <c r="N44" t="s">
        <v>111</v>
      </c>
      <c r="O44" t="s">
        <v>52</v>
      </c>
      <c r="P44" t="s">
        <v>112</v>
      </c>
      <c r="Q44" t="s">
        <v>113</v>
      </c>
      <c r="R44" t="s">
        <v>114</v>
      </c>
      <c r="S44" t="s">
        <v>115</v>
      </c>
      <c r="T44" t="s">
        <v>115</v>
      </c>
      <c r="U44" t="s">
        <v>115</v>
      </c>
      <c r="V44" t="s">
        <v>650</v>
      </c>
      <c r="W44" t="s">
        <v>651</v>
      </c>
      <c r="X44" t="s">
        <v>640</v>
      </c>
      <c r="Y44" t="s">
        <v>119</v>
      </c>
      <c r="Z44" t="s">
        <v>652</v>
      </c>
      <c r="AA44" t="s">
        <v>121</v>
      </c>
      <c r="AB44" t="s">
        <v>122</v>
      </c>
      <c r="AC44" t="s">
        <v>260</v>
      </c>
      <c r="AD44" t="s">
        <v>261</v>
      </c>
      <c r="AE44" t="s">
        <v>653</v>
      </c>
      <c r="AF44" t="s">
        <v>124</v>
      </c>
      <c r="AG44" t="s">
        <v>125</v>
      </c>
      <c r="AH44" t="s">
        <v>54</v>
      </c>
      <c r="AI44" t="s">
        <v>654</v>
      </c>
      <c r="AJ44" t="s">
        <v>54</v>
      </c>
      <c r="AK44" t="s">
        <v>54</v>
      </c>
      <c r="AL44" t="s">
        <v>54</v>
      </c>
      <c r="AM44" t="s">
        <v>655</v>
      </c>
      <c r="AN44" t="s">
        <v>54</v>
      </c>
      <c r="AO44" t="s">
        <v>656</v>
      </c>
      <c r="AP44" t="s">
        <v>657</v>
      </c>
      <c r="AQ44" t="s">
        <v>54</v>
      </c>
      <c r="AR44" t="s">
        <v>54</v>
      </c>
      <c r="AS44" t="s">
        <v>658</v>
      </c>
      <c r="AT44" t="s">
        <v>659</v>
      </c>
      <c r="AU44" t="s">
        <v>660</v>
      </c>
    </row>
    <row r="45" spans="1:47">
      <c r="A45" t="s">
        <v>50</v>
      </c>
      <c r="B45" t="s">
        <v>101</v>
      </c>
      <c r="C45" t="s">
        <v>102</v>
      </c>
      <c r="D45" t="s">
        <v>103</v>
      </c>
      <c r="E45" t="s">
        <v>104</v>
      </c>
      <c r="F45" t="s">
        <v>105</v>
      </c>
      <c r="G45" t="s">
        <v>106</v>
      </c>
      <c r="H45" t="s">
        <v>107</v>
      </c>
      <c r="I45" t="s">
        <v>103</v>
      </c>
      <c r="J45" t="s">
        <v>108</v>
      </c>
      <c r="K45" t="s">
        <v>109</v>
      </c>
      <c r="L45" t="s">
        <v>51</v>
      </c>
      <c r="M45" t="s">
        <v>110</v>
      </c>
      <c r="N45" t="s">
        <v>111</v>
      </c>
      <c r="O45" t="s">
        <v>52</v>
      </c>
      <c r="P45" t="s">
        <v>112</v>
      </c>
      <c r="Q45" t="s">
        <v>113</v>
      </c>
      <c r="R45" t="s">
        <v>114</v>
      </c>
      <c r="S45" t="s">
        <v>115</v>
      </c>
      <c r="T45" t="s">
        <v>115</v>
      </c>
      <c r="U45" t="s">
        <v>115</v>
      </c>
      <c r="V45" t="s">
        <v>661</v>
      </c>
      <c r="W45" t="s">
        <v>662</v>
      </c>
      <c r="X45" t="s">
        <v>640</v>
      </c>
      <c r="Y45" t="s">
        <v>134</v>
      </c>
      <c r="Z45" t="s">
        <v>212</v>
      </c>
      <c r="AA45" t="s">
        <v>121</v>
      </c>
      <c r="AB45" t="s">
        <v>122</v>
      </c>
      <c r="AC45" t="s">
        <v>260</v>
      </c>
      <c r="AD45" t="s">
        <v>261</v>
      </c>
      <c r="AE45" t="s">
        <v>663</v>
      </c>
      <c r="AF45" t="s">
        <v>124</v>
      </c>
      <c r="AG45" t="s">
        <v>125</v>
      </c>
      <c r="AH45" t="s">
        <v>54</v>
      </c>
      <c r="AI45" t="s">
        <v>664</v>
      </c>
      <c r="AJ45" t="s">
        <v>54</v>
      </c>
      <c r="AK45" t="s">
        <v>54</v>
      </c>
      <c r="AL45" t="s">
        <v>54</v>
      </c>
      <c r="AM45" t="s">
        <v>665</v>
      </c>
      <c r="AN45" t="s">
        <v>666</v>
      </c>
      <c r="AO45" t="s">
        <v>667</v>
      </c>
      <c r="AP45" t="s">
        <v>668</v>
      </c>
      <c r="AQ45" t="s">
        <v>669</v>
      </c>
      <c r="AR45" t="s">
        <v>670</v>
      </c>
      <c r="AS45" t="s">
        <v>671</v>
      </c>
      <c r="AT45" t="s">
        <v>672</v>
      </c>
      <c r="AU45" t="s">
        <v>673</v>
      </c>
    </row>
    <row r="46" spans="1:47">
      <c r="A46" t="s">
        <v>50</v>
      </c>
      <c r="B46" t="s">
        <v>101</v>
      </c>
      <c r="C46" t="s">
        <v>102</v>
      </c>
      <c r="D46" t="s">
        <v>103</v>
      </c>
      <c r="E46" t="s">
        <v>104</v>
      </c>
      <c r="F46" t="s">
        <v>105</v>
      </c>
      <c r="G46" t="s">
        <v>106</v>
      </c>
      <c r="H46" t="s">
        <v>107</v>
      </c>
      <c r="I46" t="s">
        <v>103</v>
      </c>
      <c r="J46" t="s">
        <v>108</v>
      </c>
      <c r="K46" t="s">
        <v>109</v>
      </c>
      <c r="L46" t="s">
        <v>51</v>
      </c>
      <c r="M46" t="s">
        <v>110</v>
      </c>
      <c r="N46" t="s">
        <v>111</v>
      </c>
      <c r="O46" t="s">
        <v>52</v>
      </c>
      <c r="P46" t="s">
        <v>112</v>
      </c>
      <c r="Q46" t="s">
        <v>113</v>
      </c>
      <c r="R46" t="s">
        <v>114</v>
      </c>
      <c r="S46" t="s">
        <v>115</v>
      </c>
      <c r="T46" t="s">
        <v>115</v>
      </c>
      <c r="U46" t="s">
        <v>115</v>
      </c>
      <c r="V46" t="s">
        <v>674</v>
      </c>
      <c r="W46" t="s">
        <v>675</v>
      </c>
      <c r="X46" t="s">
        <v>640</v>
      </c>
      <c r="Y46" t="s">
        <v>146</v>
      </c>
      <c r="Z46" t="s">
        <v>160</v>
      </c>
      <c r="AA46" t="s">
        <v>121</v>
      </c>
      <c r="AB46" t="s">
        <v>122</v>
      </c>
      <c r="AC46" t="s">
        <v>260</v>
      </c>
      <c r="AD46" t="s">
        <v>261</v>
      </c>
      <c r="AE46" t="s">
        <v>676</v>
      </c>
      <c r="AF46" t="s">
        <v>124</v>
      </c>
      <c r="AG46" t="s">
        <v>125</v>
      </c>
      <c r="AH46" t="s">
        <v>54</v>
      </c>
      <c r="AI46" t="s">
        <v>677</v>
      </c>
      <c r="AJ46" t="s">
        <v>678</v>
      </c>
      <c r="AK46" t="s">
        <v>54</v>
      </c>
      <c r="AL46" t="s">
        <v>54</v>
      </c>
      <c r="AM46" t="s">
        <v>679</v>
      </c>
      <c r="AN46" t="s">
        <v>680</v>
      </c>
      <c r="AO46" t="s">
        <v>681</v>
      </c>
      <c r="AP46" t="s">
        <v>682</v>
      </c>
      <c r="AQ46" t="s">
        <v>683</v>
      </c>
      <c r="AR46" t="s">
        <v>684</v>
      </c>
      <c r="AS46" t="s">
        <v>685</v>
      </c>
      <c r="AT46" t="s">
        <v>686</v>
      </c>
      <c r="AU46" t="s">
        <v>687</v>
      </c>
    </row>
    <row r="47" spans="1:47">
      <c r="A47" t="s">
        <v>50</v>
      </c>
      <c r="B47" t="s">
        <v>101</v>
      </c>
      <c r="C47" t="s">
        <v>102</v>
      </c>
      <c r="D47" t="s">
        <v>103</v>
      </c>
      <c r="E47" t="s">
        <v>104</v>
      </c>
      <c r="F47" t="s">
        <v>105</v>
      </c>
      <c r="G47" t="s">
        <v>106</v>
      </c>
      <c r="H47" t="s">
        <v>107</v>
      </c>
      <c r="I47" t="s">
        <v>103</v>
      </c>
      <c r="J47" t="s">
        <v>108</v>
      </c>
      <c r="K47" t="s">
        <v>109</v>
      </c>
      <c r="L47" t="s">
        <v>51</v>
      </c>
      <c r="M47" t="s">
        <v>110</v>
      </c>
      <c r="N47" t="s">
        <v>111</v>
      </c>
      <c r="O47" t="s">
        <v>52</v>
      </c>
      <c r="P47" t="s">
        <v>112</v>
      </c>
      <c r="Q47" t="s">
        <v>113</v>
      </c>
      <c r="R47" t="s">
        <v>114</v>
      </c>
      <c r="S47" t="s">
        <v>115</v>
      </c>
      <c r="T47" t="s">
        <v>115</v>
      </c>
      <c r="U47" t="s">
        <v>115</v>
      </c>
      <c r="V47" t="s">
        <v>688</v>
      </c>
      <c r="W47" t="s">
        <v>689</v>
      </c>
      <c r="X47" t="s">
        <v>640</v>
      </c>
      <c r="Y47" t="s">
        <v>135</v>
      </c>
      <c r="Z47" t="s">
        <v>652</v>
      </c>
      <c r="AA47" t="s">
        <v>121</v>
      </c>
      <c r="AB47" t="s">
        <v>122</v>
      </c>
      <c r="AC47" t="s">
        <v>260</v>
      </c>
      <c r="AD47" t="s">
        <v>261</v>
      </c>
      <c r="AE47" t="s">
        <v>690</v>
      </c>
      <c r="AF47" t="s">
        <v>124</v>
      </c>
      <c r="AG47" t="s">
        <v>125</v>
      </c>
      <c r="AH47" t="s">
        <v>54</v>
      </c>
      <c r="AI47" t="s">
        <v>691</v>
      </c>
      <c r="AJ47" t="s">
        <v>54</v>
      </c>
      <c r="AK47" t="s">
        <v>54</v>
      </c>
      <c r="AL47" t="s">
        <v>54</v>
      </c>
      <c r="AM47" t="s">
        <v>692</v>
      </c>
      <c r="AN47" t="s">
        <v>54</v>
      </c>
      <c r="AO47" t="s">
        <v>693</v>
      </c>
      <c r="AP47" t="s">
        <v>694</v>
      </c>
      <c r="AQ47" t="s">
        <v>695</v>
      </c>
      <c r="AR47" t="s">
        <v>696</v>
      </c>
      <c r="AS47" t="s">
        <v>697</v>
      </c>
      <c r="AT47" t="s">
        <v>698</v>
      </c>
      <c r="AU47" t="s">
        <v>699</v>
      </c>
    </row>
    <row r="48" spans="1:47">
      <c r="A48" t="s">
        <v>50</v>
      </c>
      <c r="B48" t="s">
        <v>101</v>
      </c>
      <c r="C48" t="s">
        <v>102</v>
      </c>
      <c r="D48" t="s">
        <v>103</v>
      </c>
      <c r="E48" t="s">
        <v>104</v>
      </c>
      <c r="F48" t="s">
        <v>105</v>
      </c>
      <c r="G48" t="s">
        <v>106</v>
      </c>
      <c r="H48" t="s">
        <v>107</v>
      </c>
      <c r="I48" t="s">
        <v>103</v>
      </c>
      <c r="J48" t="s">
        <v>108</v>
      </c>
      <c r="K48" t="s">
        <v>109</v>
      </c>
      <c r="L48" t="s">
        <v>51</v>
      </c>
      <c r="M48" t="s">
        <v>110</v>
      </c>
      <c r="N48" t="s">
        <v>111</v>
      </c>
      <c r="O48" t="s">
        <v>52</v>
      </c>
      <c r="P48" t="s">
        <v>112</v>
      </c>
      <c r="Q48" t="s">
        <v>113</v>
      </c>
      <c r="R48" t="s">
        <v>114</v>
      </c>
      <c r="S48" t="s">
        <v>115</v>
      </c>
      <c r="T48" t="s">
        <v>115</v>
      </c>
      <c r="U48" t="s">
        <v>115</v>
      </c>
      <c r="V48" t="s">
        <v>700</v>
      </c>
      <c r="W48" t="s">
        <v>701</v>
      </c>
      <c r="X48" t="s">
        <v>640</v>
      </c>
      <c r="Y48" t="s">
        <v>160</v>
      </c>
      <c r="Z48" t="s">
        <v>186</v>
      </c>
      <c r="AA48" t="s">
        <v>121</v>
      </c>
      <c r="AB48" t="s">
        <v>122</v>
      </c>
      <c r="AC48" t="s">
        <v>260</v>
      </c>
      <c r="AD48" t="s">
        <v>261</v>
      </c>
      <c r="AE48" t="s">
        <v>702</v>
      </c>
      <c r="AF48" t="s">
        <v>124</v>
      </c>
      <c r="AG48" t="s">
        <v>125</v>
      </c>
      <c r="AH48" t="s">
        <v>54</v>
      </c>
      <c r="AI48" t="s">
        <v>393</v>
      </c>
      <c r="AJ48" t="s">
        <v>703</v>
      </c>
      <c r="AK48" t="s">
        <v>54</v>
      </c>
      <c r="AL48" t="s">
        <v>54</v>
      </c>
      <c r="AM48" t="s">
        <v>704</v>
      </c>
      <c r="AN48" t="s">
        <v>705</v>
      </c>
      <c r="AO48" t="s">
        <v>706</v>
      </c>
      <c r="AP48" t="s">
        <v>707</v>
      </c>
      <c r="AQ48" t="s">
        <v>708</v>
      </c>
      <c r="AR48" t="s">
        <v>709</v>
      </c>
      <c r="AS48" t="s">
        <v>710</v>
      </c>
      <c r="AT48" t="s">
        <v>711</v>
      </c>
      <c r="AU48" t="s">
        <v>712</v>
      </c>
    </row>
    <row r="49" spans="1:47">
      <c r="A49" t="s">
        <v>50</v>
      </c>
      <c r="B49" t="s">
        <v>101</v>
      </c>
      <c r="C49" t="s">
        <v>102</v>
      </c>
      <c r="D49" t="s">
        <v>103</v>
      </c>
      <c r="E49" t="s">
        <v>104</v>
      </c>
      <c r="F49" t="s">
        <v>105</v>
      </c>
      <c r="G49" t="s">
        <v>106</v>
      </c>
      <c r="H49" t="s">
        <v>107</v>
      </c>
      <c r="I49" t="s">
        <v>103</v>
      </c>
      <c r="J49" t="s">
        <v>108</v>
      </c>
      <c r="K49" t="s">
        <v>109</v>
      </c>
      <c r="L49" t="s">
        <v>51</v>
      </c>
      <c r="M49" t="s">
        <v>110</v>
      </c>
      <c r="N49" t="s">
        <v>111</v>
      </c>
      <c r="O49" t="s">
        <v>52</v>
      </c>
      <c r="P49" t="s">
        <v>112</v>
      </c>
      <c r="Q49" t="s">
        <v>113</v>
      </c>
      <c r="R49" t="s">
        <v>114</v>
      </c>
      <c r="S49" t="s">
        <v>115</v>
      </c>
      <c r="T49" t="s">
        <v>115</v>
      </c>
      <c r="U49" t="s">
        <v>115</v>
      </c>
      <c r="V49" t="s">
        <v>713</v>
      </c>
      <c r="W49" t="s">
        <v>714</v>
      </c>
      <c r="X49" t="s">
        <v>715</v>
      </c>
      <c r="Y49" t="s">
        <v>186</v>
      </c>
      <c r="Z49" t="s">
        <v>186</v>
      </c>
      <c r="AA49" t="s">
        <v>121</v>
      </c>
      <c r="AB49" t="s">
        <v>122</v>
      </c>
      <c r="AC49" t="s">
        <v>260</v>
      </c>
      <c r="AD49" t="s">
        <v>261</v>
      </c>
      <c r="AE49" t="s">
        <v>716</v>
      </c>
      <c r="AF49" t="s">
        <v>124</v>
      </c>
      <c r="AG49" t="s">
        <v>125</v>
      </c>
      <c r="AH49" t="s">
        <v>54</v>
      </c>
      <c r="AI49" t="s">
        <v>717</v>
      </c>
      <c r="AJ49" t="s">
        <v>718</v>
      </c>
      <c r="AK49" t="s">
        <v>54</v>
      </c>
      <c r="AL49" t="s">
        <v>54</v>
      </c>
      <c r="AM49" t="s">
        <v>220</v>
      </c>
      <c r="AN49" t="s">
        <v>54</v>
      </c>
      <c r="AO49" t="s">
        <v>719</v>
      </c>
      <c r="AP49" t="s">
        <v>720</v>
      </c>
      <c r="AQ49" t="s">
        <v>721</v>
      </c>
      <c r="AR49" t="s">
        <v>722</v>
      </c>
      <c r="AS49" t="s">
        <v>723</v>
      </c>
      <c r="AT49" t="s">
        <v>724</v>
      </c>
      <c r="AU49" t="s">
        <v>725</v>
      </c>
    </row>
    <row r="50" spans="1:47">
      <c r="A50" t="s">
        <v>50</v>
      </c>
      <c r="B50" t="s">
        <v>101</v>
      </c>
      <c r="C50" t="s">
        <v>102</v>
      </c>
      <c r="D50" t="s">
        <v>103</v>
      </c>
      <c r="E50" t="s">
        <v>104</v>
      </c>
      <c r="F50" t="s">
        <v>105</v>
      </c>
      <c r="G50" t="s">
        <v>106</v>
      </c>
      <c r="H50" t="s">
        <v>107</v>
      </c>
      <c r="I50" t="s">
        <v>103</v>
      </c>
      <c r="J50" t="s">
        <v>108</v>
      </c>
      <c r="K50" t="s">
        <v>109</v>
      </c>
      <c r="L50" t="s">
        <v>51</v>
      </c>
      <c r="M50" t="s">
        <v>110</v>
      </c>
      <c r="N50" t="s">
        <v>111</v>
      </c>
      <c r="O50" t="s">
        <v>52</v>
      </c>
      <c r="P50" t="s">
        <v>112</v>
      </c>
      <c r="Q50" t="s">
        <v>113</v>
      </c>
      <c r="R50" t="s">
        <v>114</v>
      </c>
      <c r="S50" t="s">
        <v>115</v>
      </c>
      <c r="T50" t="s">
        <v>115</v>
      </c>
      <c r="U50" t="s">
        <v>115</v>
      </c>
      <c r="V50" t="s">
        <v>726</v>
      </c>
      <c r="W50" t="s">
        <v>727</v>
      </c>
      <c r="X50" t="s">
        <v>715</v>
      </c>
      <c r="Y50" t="s">
        <v>119</v>
      </c>
      <c r="Z50" t="s">
        <v>135</v>
      </c>
      <c r="AA50" t="s">
        <v>121</v>
      </c>
      <c r="AB50" t="s">
        <v>122</v>
      </c>
      <c r="AC50" t="s">
        <v>260</v>
      </c>
      <c r="AD50" t="s">
        <v>261</v>
      </c>
      <c r="AE50" t="s">
        <v>728</v>
      </c>
      <c r="AF50" t="s">
        <v>124</v>
      </c>
      <c r="AG50" t="s">
        <v>125</v>
      </c>
      <c r="AH50" t="s">
        <v>54</v>
      </c>
      <c r="AI50" t="s">
        <v>729</v>
      </c>
      <c r="AJ50" t="s">
        <v>54</v>
      </c>
      <c r="AK50" t="s">
        <v>54</v>
      </c>
      <c r="AL50" t="s">
        <v>54</v>
      </c>
      <c r="AM50" t="s">
        <v>730</v>
      </c>
      <c r="AN50" t="s">
        <v>54</v>
      </c>
      <c r="AO50" t="s">
        <v>731</v>
      </c>
      <c r="AP50" t="s">
        <v>732</v>
      </c>
      <c r="AQ50" t="s">
        <v>733</v>
      </c>
      <c r="AR50" t="s">
        <v>734</v>
      </c>
      <c r="AS50" t="s">
        <v>735</v>
      </c>
      <c r="AT50" t="s">
        <v>736</v>
      </c>
      <c r="AU50" t="s">
        <v>737</v>
      </c>
    </row>
    <row r="51" spans="1:47">
      <c r="A51" t="s">
        <v>50</v>
      </c>
      <c r="B51" t="s">
        <v>101</v>
      </c>
      <c r="C51" t="s">
        <v>102</v>
      </c>
      <c r="D51" t="s">
        <v>103</v>
      </c>
      <c r="E51" t="s">
        <v>104</v>
      </c>
      <c r="F51" t="s">
        <v>105</v>
      </c>
      <c r="G51" t="s">
        <v>106</v>
      </c>
      <c r="H51" t="s">
        <v>107</v>
      </c>
      <c r="I51" t="s">
        <v>103</v>
      </c>
      <c r="J51" t="s">
        <v>108</v>
      </c>
      <c r="K51" t="s">
        <v>109</v>
      </c>
      <c r="L51" t="s">
        <v>51</v>
      </c>
      <c r="M51" t="s">
        <v>110</v>
      </c>
      <c r="N51" t="s">
        <v>111</v>
      </c>
      <c r="O51" t="s">
        <v>52</v>
      </c>
      <c r="P51" t="s">
        <v>112</v>
      </c>
      <c r="Q51" t="s">
        <v>113</v>
      </c>
      <c r="R51" t="s">
        <v>114</v>
      </c>
      <c r="S51" t="s">
        <v>115</v>
      </c>
      <c r="T51" t="s">
        <v>115</v>
      </c>
      <c r="U51" t="s">
        <v>115</v>
      </c>
      <c r="V51" t="s">
        <v>738</v>
      </c>
      <c r="W51" t="s">
        <v>739</v>
      </c>
      <c r="X51" t="s">
        <v>715</v>
      </c>
      <c r="Y51" t="s">
        <v>134</v>
      </c>
      <c r="Z51" t="s">
        <v>134</v>
      </c>
      <c r="AA51" t="s">
        <v>121</v>
      </c>
      <c r="AB51" t="s">
        <v>122</v>
      </c>
      <c r="AC51" t="s">
        <v>260</v>
      </c>
      <c r="AD51" t="s">
        <v>261</v>
      </c>
      <c r="AE51" t="s">
        <v>740</v>
      </c>
      <c r="AF51" t="s">
        <v>124</v>
      </c>
      <c r="AG51" t="s">
        <v>125</v>
      </c>
      <c r="AH51" t="s">
        <v>54</v>
      </c>
      <c r="AI51" t="s">
        <v>741</v>
      </c>
      <c r="AJ51" t="s">
        <v>54</v>
      </c>
      <c r="AK51" t="s">
        <v>54</v>
      </c>
      <c r="AL51" t="s">
        <v>54</v>
      </c>
      <c r="AM51" t="s">
        <v>742</v>
      </c>
      <c r="AN51" t="s">
        <v>54</v>
      </c>
      <c r="AO51" t="s">
        <v>743</v>
      </c>
      <c r="AP51" t="s">
        <v>744</v>
      </c>
      <c r="AQ51" t="s">
        <v>745</v>
      </c>
      <c r="AR51" t="s">
        <v>746</v>
      </c>
      <c r="AS51" t="s">
        <v>747</v>
      </c>
      <c r="AT51" t="s">
        <v>748</v>
      </c>
      <c r="AU51" t="s">
        <v>749</v>
      </c>
    </row>
    <row r="52" spans="1:47">
      <c r="A52" t="s">
        <v>50</v>
      </c>
      <c r="B52" t="s">
        <v>101</v>
      </c>
      <c r="C52" t="s">
        <v>102</v>
      </c>
      <c r="D52" t="s">
        <v>103</v>
      </c>
      <c r="E52" t="s">
        <v>104</v>
      </c>
      <c r="F52" t="s">
        <v>105</v>
      </c>
      <c r="G52" t="s">
        <v>106</v>
      </c>
      <c r="H52" t="s">
        <v>107</v>
      </c>
      <c r="I52" t="s">
        <v>103</v>
      </c>
      <c r="J52" t="s">
        <v>108</v>
      </c>
      <c r="K52" t="s">
        <v>109</v>
      </c>
      <c r="L52" t="s">
        <v>51</v>
      </c>
      <c r="M52" t="s">
        <v>110</v>
      </c>
      <c r="N52" t="s">
        <v>111</v>
      </c>
      <c r="O52" t="s">
        <v>52</v>
      </c>
      <c r="P52" t="s">
        <v>112</v>
      </c>
      <c r="Q52" t="s">
        <v>113</v>
      </c>
      <c r="R52" t="s">
        <v>114</v>
      </c>
      <c r="S52" t="s">
        <v>115</v>
      </c>
      <c r="T52" t="s">
        <v>115</v>
      </c>
      <c r="U52" t="s">
        <v>115</v>
      </c>
      <c r="V52" t="s">
        <v>750</v>
      </c>
      <c r="W52" t="s">
        <v>751</v>
      </c>
      <c r="X52" t="s">
        <v>715</v>
      </c>
      <c r="Y52" t="s">
        <v>146</v>
      </c>
      <c r="Z52" t="s">
        <v>135</v>
      </c>
      <c r="AA52" t="s">
        <v>121</v>
      </c>
      <c r="AB52" t="s">
        <v>122</v>
      </c>
      <c r="AC52" t="s">
        <v>260</v>
      </c>
      <c r="AD52" t="s">
        <v>261</v>
      </c>
      <c r="AE52" t="s">
        <v>752</v>
      </c>
      <c r="AF52" t="s">
        <v>124</v>
      </c>
      <c r="AG52" t="s">
        <v>125</v>
      </c>
      <c r="AH52" t="s">
        <v>54</v>
      </c>
      <c r="AI52" t="s">
        <v>54</v>
      </c>
      <c r="AJ52" t="s">
        <v>54</v>
      </c>
      <c r="AK52" t="s">
        <v>54</v>
      </c>
      <c r="AL52" t="s">
        <v>54</v>
      </c>
      <c r="AM52" t="s">
        <v>753</v>
      </c>
      <c r="AN52" t="s">
        <v>54</v>
      </c>
      <c r="AO52" t="s">
        <v>754</v>
      </c>
      <c r="AP52" t="s">
        <v>755</v>
      </c>
      <c r="AQ52" t="s">
        <v>736</v>
      </c>
      <c r="AR52" t="s">
        <v>756</v>
      </c>
      <c r="AS52" t="s">
        <v>757</v>
      </c>
      <c r="AT52" t="s">
        <v>758</v>
      </c>
      <c r="AU52" t="s">
        <v>759</v>
      </c>
    </row>
    <row r="53" spans="1:47">
      <c r="A53" t="s">
        <v>50</v>
      </c>
      <c r="B53" t="s">
        <v>101</v>
      </c>
      <c r="C53" t="s">
        <v>102</v>
      </c>
      <c r="D53" t="s">
        <v>103</v>
      </c>
      <c r="E53" t="s">
        <v>104</v>
      </c>
      <c r="F53" t="s">
        <v>105</v>
      </c>
      <c r="G53" t="s">
        <v>106</v>
      </c>
      <c r="H53" t="s">
        <v>107</v>
      </c>
      <c r="I53" t="s">
        <v>103</v>
      </c>
      <c r="J53" t="s">
        <v>108</v>
      </c>
      <c r="K53" t="s">
        <v>109</v>
      </c>
      <c r="L53" t="s">
        <v>51</v>
      </c>
      <c r="M53" t="s">
        <v>110</v>
      </c>
      <c r="N53" t="s">
        <v>111</v>
      </c>
      <c r="O53" t="s">
        <v>52</v>
      </c>
      <c r="P53" t="s">
        <v>112</v>
      </c>
      <c r="Q53" t="s">
        <v>113</v>
      </c>
      <c r="R53" t="s">
        <v>114</v>
      </c>
      <c r="S53" t="s">
        <v>115</v>
      </c>
      <c r="T53" t="s">
        <v>115</v>
      </c>
      <c r="U53" t="s">
        <v>115</v>
      </c>
      <c r="V53" t="s">
        <v>760</v>
      </c>
      <c r="W53" t="s">
        <v>761</v>
      </c>
      <c r="X53" t="s">
        <v>715</v>
      </c>
      <c r="Y53" t="s">
        <v>160</v>
      </c>
      <c r="Z53" t="s">
        <v>187</v>
      </c>
      <c r="AA53" t="s">
        <v>121</v>
      </c>
      <c r="AB53" t="s">
        <v>122</v>
      </c>
      <c r="AC53" t="s">
        <v>260</v>
      </c>
      <c r="AD53" t="s">
        <v>261</v>
      </c>
      <c r="AE53" t="s">
        <v>762</v>
      </c>
      <c r="AF53" t="s">
        <v>124</v>
      </c>
      <c r="AG53" t="s">
        <v>125</v>
      </c>
      <c r="AH53" t="s">
        <v>54</v>
      </c>
      <c r="AI53" t="s">
        <v>763</v>
      </c>
      <c r="AJ53" t="s">
        <v>764</v>
      </c>
      <c r="AK53" t="s">
        <v>54</v>
      </c>
      <c r="AL53" t="s">
        <v>54</v>
      </c>
      <c r="AM53" t="s">
        <v>765</v>
      </c>
      <c r="AN53" t="s">
        <v>766</v>
      </c>
      <c r="AO53" t="s">
        <v>767</v>
      </c>
      <c r="AP53" t="s">
        <v>768</v>
      </c>
      <c r="AQ53" t="s">
        <v>769</v>
      </c>
      <c r="AR53" t="s">
        <v>770</v>
      </c>
      <c r="AS53" t="s">
        <v>771</v>
      </c>
      <c r="AT53" t="s">
        <v>772</v>
      </c>
      <c r="AU53" t="s">
        <v>773</v>
      </c>
    </row>
    <row r="54" spans="1:47">
      <c r="A54" t="s">
        <v>50</v>
      </c>
      <c r="B54" t="s">
        <v>101</v>
      </c>
      <c r="C54" t="s">
        <v>102</v>
      </c>
      <c r="D54" t="s">
        <v>103</v>
      </c>
      <c r="E54" t="s">
        <v>104</v>
      </c>
      <c r="F54" t="s">
        <v>105</v>
      </c>
      <c r="G54" t="s">
        <v>106</v>
      </c>
      <c r="H54" t="s">
        <v>107</v>
      </c>
      <c r="I54" t="s">
        <v>103</v>
      </c>
      <c r="J54" t="s">
        <v>108</v>
      </c>
      <c r="K54" t="s">
        <v>109</v>
      </c>
      <c r="L54" t="s">
        <v>51</v>
      </c>
      <c r="M54" t="s">
        <v>110</v>
      </c>
      <c r="N54" t="s">
        <v>111</v>
      </c>
      <c r="O54" t="s">
        <v>52</v>
      </c>
      <c r="P54" t="s">
        <v>112</v>
      </c>
      <c r="Q54" t="s">
        <v>113</v>
      </c>
      <c r="R54" t="s">
        <v>114</v>
      </c>
      <c r="S54" t="s">
        <v>115</v>
      </c>
      <c r="T54" t="s">
        <v>115</v>
      </c>
      <c r="U54" t="s">
        <v>115</v>
      </c>
      <c r="V54" t="s">
        <v>774</v>
      </c>
      <c r="W54" t="s">
        <v>775</v>
      </c>
      <c r="X54" t="s">
        <v>776</v>
      </c>
      <c r="Y54" t="s">
        <v>186</v>
      </c>
      <c r="Z54" t="s">
        <v>259</v>
      </c>
      <c r="AA54" t="s">
        <v>121</v>
      </c>
      <c r="AB54" t="s">
        <v>122</v>
      </c>
      <c r="AC54" t="s">
        <v>260</v>
      </c>
      <c r="AD54" t="s">
        <v>261</v>
      </c>
      <c r="AE54" t="s">
        <v>777</v>
      </c>
      <c r="AF54" t="s">
        <v>124</v>
      </c>
      <c r="AG54" t="s">
        <v>125</v>
      </c>
      <c r="AH54" t="s">
        <v>54</v>
      </c>
      <c r="AI54" t="s">
        <v>778</v>
      </c>
      <c r="AJ54" t="s">
        <v>779</v>
      </c>
      <c r="AK54" t="s">
        <v>54</v>
      </c>
      <c r="AL54" t="s">
        <v>54</v>
      </c>
      <c r="AM54" t="s">
        <v>780</v>
      </c>
      <c r="AN54" t="s">
        <v>781</v>
      </c>
      <c r="AO54" t="s">
        <v>782</v>
      </c>
      <c r="AP54" t="s">
        <v>783</v>
      </c>
      <c r="AQ54" t="s">
        <v>784</v>
      </c>
      <c r="AR54" t="s">
        <v>785</v>
      </c>
      <c r="AS54" t="s">
        <v>786</v>
      </c>
      <c r="AT54" t="s">
        <v>373</v>
      </c>
      <c r="AU54" t="s">
        <v>787</v>
      </c>
    </row>
    <row r="55" spans="1:47">
      <c r="A55" t="s">
        <v>50</v>
      </c>
      <c r="B55" t="s">
        <v>101</v>
      </c>
      <c r="C55" t="s">
        <v>102</v>
      </c>
      <c r="D55" t="s">
        <v>103</v>
      </c>
      <c r="E55" t="s">
        <v>104</v>
      </c>
      <c r="F55" t="s">
        <v>105</v>
      </c>
      <c r="G55" t="s">
        <v>106</v>
      </c>
      <c r="H55" t="s">
        <v>107</v>
      </c>
      <c r="I55" t="s">
        <v>103</v>
      </c>
      <c r="J55" t="s">
        <v>108</v>
      </c>
      <c r="K55" t="s">
        <v>109</v>
      </c>
      <c r="L55" t="s">
        <v>51</v>
      </c>
      <c r="M55" t="s">
        <v>110</v>
      </c>
      <c r="N55" t="s">
        <v>111</v>
      </c>
      <c r="O55" t="s">
        <v>52</v>
      </c>
      <c r="P55" t="s">
        <v>112</v>
      </c>
      <c r="Q55" t="s">
        <v>113</v>
      </c>
      <c r="R55" t="s">
        <v>114</v>
      </c>
      <c r="S55" t="s">
        <v>115</v>
      </c>
      <c r="T55" t="s">
        <v>115</v>
      </c>
      <c r="U55" t="s">
        <v>115</v>
      </c>
      <c r="V55" t="s">
        <v>788</v>
      </c>
      <c r="W55" t="s">
        <v>789</v>
      </c>
      <c r="X55" t="s">
        <v>776</v>
      </c>
      <c r="Y55" t="s">
        <v>119</v>
      </c>
      <c r="Z55" t="s">
        <v>494</v>
      </c>
      <c r="AA55" t="s">
        <v>121</v>
      </c>
      <c r="AB55" t="s">
        <v>122</v>
      </c>
      <c r="AC55" t="s">
        <v>260</v>
      </c>
      <c r="AD55" t="s">
        <v>261</v>
      </c>
      <c r="AE55" t="s">
        <v>790</v>
      </c>
      <c r="AF55" t="s">
        <v>124</v>
      </c>
      <c r="AG55" t="s">
        <v>125</v>
      </c>
      <c r="AH55" t="s">
        <v>54</v>
      </c>
      <c r="AI55" t="s">
        <v>791</v>
      </c>
      <c r="AJ55" t="s">
        <v>54</v>
      </c>
      <c r="AK55" t="s">
        <v>54</v>
      </c>
      <c r="AL55" t="s">
        <v>54</v>
      </c>
      <c r="AM55" t="s">
        <v>792</v>
      </c>
      <c r="AN55" t="s">
        <v>793</v>
      </c>
      <c r="AO55" t="s">
        <v>794</v>
      </c>
      <c r="AP55" t="s">
        <v>795</v>
      </c>
      <c r="AQ55" t="s">
        <v>796</v>
      </c>
      <c r="AR55" t="s">
        <v>797</v>
      </c>
      <c r="AS55" t="s">
        <v>798</v>
      </c>
      <c r="AT55" t="s">
        <v>799</v>
      </c>
      <c r="AU55" t="s">
        <v>800</v>
      </c>
    </row>
    <row r="56" spans="1:47">
      <c r="A56" t="s">
        <v>50</v>
      </c>
      <c r="B56" t="s">
        <v>101</v>
      </c>
      <c r="C56" t="s">
        <v>102</v>
      </c>
      <c r="D56" t="s">
        <v>103</v>
      </c>
      <c r="E56" t="s">
        <v>104</v>
      </c>
      <c r="F56" t="s">
        <v>105</v>
      </c>
      <c r="G56" t="s">
        <v>106</v>
      </c>
      <c r="H56" t="s">
        <v>107</v>
      </c>
      <c r="I56" t="s">
        <v>103</v>
      </c>
      <c r="J56" t="s">
        <v>108</v>
      </c>
      <c r="K56" t="s">
        <v>109</v>
      </c>
      <c r="L56" t="s">
        <v>51</v>
      </c>
      <c r="M56" t="s">
        <v>110</v>
      </c>
      <c r="N56" t="s">
        <v>111</v>
      </c>
      <c r="O56" t="s">
        <v>52</v>
      </c>
      <c r="P56" t="s">
        <v>112</v>
      </c>
      <c r="Q56" t="s">
        <v>113</v>
      </c>
      <c r="R56" t="s">
        <v>114</v>
      </c>
      <c r="S56" t="s">
        <v>115</v>
      </c>
      <c r="T56" t="s">
        <v>115</v>
      </c>
      <c r="U56" t="s">
        <v>115</v>
      </c>
      <c r="V56" t="s">
        <v>801</v>
      </c>
      <c r="W56" t="s">
        <v>802</v>
      </c>
      <c r="X56" t="s">
        <v>776</v>
      </c>
      <c r="Y56" t="s">
        <v>134</v>
      </c>
      <c r="Z56" t="s">
        <v>135</v>
      </c>
      <c r="AA56" t="s">
        <v>121</v>
      </c>
      <c r="AB56" t="s">
        <v>122</v>
      </c>
      <c r="AC56" t="s">
        <v>260</v>
      </c>
      <c r="AD56" t="s">
        <v>261</v>
      </c>
      <c r="AE56" t="s">
        <v>803</v>
      </c>
      <c r="AF56" t="s">
        <v>124</v>
      </c>
      <c r="AG56" t="s">
        <v>125</v>
      </c>
      <c r="AH56" t="s">
        <v>54</v>
      </c>
      <c r="AI56" t="s">
        <v>804</v>
      </c>
      <c r="AJ56" t="s">
        <v>54</v>
      </c>
      <c r="AK56" t="s">
        <v>54</v>
      </c>
      <c r="AL56" t="s">
        <v>54</v>
      </c>
      <c r="AM56" t="s">
        <v>805</v>
      </c>
      <c r="AN56" t="s">
        <v>806</v>
      </c>
      <c r="AO56" t="s">
        <v>807</v>
      </c>
      <c r="AP56" t="s">
        <v>808</v>
      </c>
      <c r="AQ56" t="s">
        <v>809</v>
      </c>
      <c r="AR56" t="s">
        <v>810</v>
      </c>
      <c r="AS56" t="s">
        <v>811</v>
      </c>
      <c r="AT56" t="s">
        <v>812</v>
      </c>
      <c r="AU56" t="s">
        <v>813</v>
      </c>
    </row>
    <row r="57" spans="1:47">
      <c r="A57" t="s">
        <v>50</v>
      </c>
      <c r="B57" t="s">
        <v>101</v>
      </c>
      <c r="C57" t="s">
        <v>102</v>
      </c>
      <c r="D57" t="s">
        <v>103</v>
      </c>
      <c r="E57" t="s">
        <v>104</v>
      </c>
      <c r="F57" t="s">
        <v>105</v>
      </c>
      <c r="G57" t="s">
        <v>106</v>
      </c>
      <c r="H57" t="s">
        <v>107</v>
      </c>
      <c r="I57" t="s">
        <v>103</v>
      </c>
      <c r="J57" t="s">
        <v>108</v>
      </c>
      <c r="K57" t="s">
        <v>109</v>
      </c>
      <c r="L57" t="s">
        <v>51</v>
      </c>
      <c r="M57" t="s">
        <v>110</v>
      </c>
      <c r="N57" t="s">
        <v>111</v>
      </c>
      <c r="O57" t="s">
        <v>52</v>
      </c>
      <c r="P57" t="s">
        <v>112</v>
      </c>
      <c r="Q57" t="s">
        <v>113</v>
      </c>
      <c r="R57" t="s">
        <v>114</v>
      </c>
      <c r="S57" t="s">
        <v>115</v>
      </c>
      <c r="T57" t="s">
        <v>115</v>
      </c>
      <c r="U57" t="s">
        <v>115</v>
      </c>
      <c r="V57" t="s">
        <v>814</v>
      </c>
      <c r="W57" t="s">
        <v>815</v>
      </c>
      <c r="X57" t="s">
        <v>776</v>
      </c>
      <c r="Y57" t="s">
        <v>146</v>
      </c>
      <c r="Z57" t="s">
        <v>134</v>
      </c>
      <c r="AA57" t="s">
        <v>121</v>
      </c>
      <c r="AB57" t="s">
        <v>122</v>
      </c>
      <c r="AC57" t="s">
        <v>260</v>
      </c>
      <c r="AD57" t="s">
        <v>261</v>
      </c>
      <c r="AE57" t="s">
        <v>816</v>
      </c>
      <c r="AF57" t="s">
        <v>124</v>
      </c>
      <c r="AG57" t="s">
        <v>125</v>
      </c>
      <c r="AH57" t="s">
        <v>54</v>
      </c>
      <c r="AI57" t="s">
        <v>817</v>
      </c>
      <c r="AJ57" t="s">
        <v>818</v>
      </c>
      <c r="AK57" t="s">
        <v>54</v>
      </c>
      <c r="AL57" t="s">
        <v>54</v>
      </c>
      <c r="AM57" t="s">
        <v>54</v>
      </c>
      <c r="AN57" t="s">
        <v>819</v>
      </c>
      <c r="AO57" t="s">
        <v>820</v>
      </c>
      <c r="AP57" t="s">
        <v>821</v>
      </c>
      <c r="AQ57" t="s">
        <v>54</v>
      </c>
      <c r="AR57" t="s">
        <v>822</v>
      </c>
      <c r="AS57" t="s">
        <v>823</v>
      </c>
      <c r="AT57" t="s">
        <v>824</v>
      </c>
      <c r="AU57" t="s">
        <v>825</v>
      </c>
    </row>
    <row r="58" spans="1:47">
      <c r="A58" t="s">
        <v>50</v>
      </c>
      <c r="B58" t="s">
        <v>101</v>
      </c>
      <c r="C58" t="s">
        <v>102</v>
      </c>
      <c r="D58" t="s">
        <v>103</v>
      </c>
      <c r="E58" t="s">
        <v>104</v>
      </c>
      <c r="F58" t="s">
        <v>105</v>
      </c>
      <c r="G58" t="s">
        <v>106</v>
      </c>
      <c r="H58" t="s">
        <v>107</v>
      </c>
      <c r="I58" t="s">
        <v>103</v>
      </c>
      <c r="J58" t="s">
        <v>108</v>
      </c>
      <c r="K58" t="s">
        <v>109</v>
      </c>
      <c r="L58" t="s">
        <v>51</v>
      </c>
      <c r="M58" t="s">
        <v>110</v>
      </c>
      <c r="N58" t="s">
        <v>111</v>
      </c>
      <c r="O58" t="s">
        <v>52</v>
      </c>
      <c r="P58" t="s">
        <v>112</v>
      </c>
      <c r="Q58" t="s">
        <v>113</v>
      </c>
      <c r="R58" t="s">
        <v>114</v>
      </c>
      <c r="S58" t="s">
        <v>115</v>
      </c>
      <c r="T58" t="s">
        <v>115</v>
      </c>
      <c r="U58" t="s">
        <v>115</v>
      </c>
      <c r="V58" t="s">
        <v>826</v>
      </c>
      <c r="W58" t="s">
        <v>827</v>
      </c>
      <c r="X58" t="s">
        <v>776</v>
      </c>
      <c r="Y58" t="s">
        <v>135</v>
      </c>
      <c r="Z58" t="s">
        <v>120</v>
      </c>
      <c r="AA58" t="s">
        <v>121</v>
      </c>
      <c r="AB58" t="s">
        <v>122</v>
      </c>
      <c r="AC58" t="s">
        <v>260</v>
      </c>
      <c r="AD58" t="s">
        <v>261</v>
      </c>
      <c r="AE58" t="s">
        <v>828</v>
      </c>
      <c r="AF58" t="s">
        <v>124</v>
      </c>
      <c r="AG58" t="s">
        <v>125</v>
      </c>
      <c r="AH58" t="s">
        <v>54</v>
      </c>
      <c r="AI58" t="s">
        <v>829</v>
      </c>
      <c r="AJ58" t="s">
        <v>54</v>
      </c>
      <c r="AK58" t="s">
        <v>54</v>
      </c>
      <c r="AL58" t="s">
        <v>54</v>
      </c>
      <c r="AM58" t="s">
        <v>830</v>
      </c>
      <c r="AN58" t="s">
        <v>831</v>
      </c>
      <c r="AO58" t="s">
        <v>832</v>
      </c>
      <c r="AP58" t="s">
        <v>833</v>
      </c>
      <c r="AQ58" t="s">
        <v>834</v>
      </c>
      <c r="AR58" t="s">
        <v>835</v>
      </c>
      <c r="AS58" t="s">
        <v>836</v>
      </c>
      <c r="AT58" t="s">
        <v>837</v>
      </c>
      <c r="AU58" t="s">
        <v>838</v>
      </c>
    </row>
    <row r="59" spans="1:47">
      <c r="A59" t="s">
        <v>50</v>
      </c>
      <c r="B59" t="s">
        <v>101</v>
      </c>
      <c r="C59" t="s">
        <v>102</v>
      </c>
      <c r="D59" t="s">
        <v>103</v>
      </c>
      <c r="E59" t="s">
        <v>104</v>
      </c>
      <c r="F59" t="s">
        <v>105</v>
      </c>
      <c r="G59" t="s">
        <v>106</v>
      </c>
      <c r="H59" t="s">
        <v>107</v>
      </c>
      <c r="I59" t="s">
        <v>103</v>
      </c>
      <c r="J59" t="s">
        <v>108</v>
      </c>
      <c r="K59" t="s">
        <v>109</v>
      </c>
      <c r="L59" t="s">
        <v>51</v>
      </c>
      <c r="M59" t="s">
        <v>110</v>
      </c>
      <c r="N59" t="s">
        <v>111</v>
      </c>
      <c r="O59" t="s">
        <v>52</v>
      </c>
      <c r="P59" t="s">
        <v>112</v>
      </c>
      <c r="Q59" t="s">
        <v>113</v>
      </c>
      <c r="R59" t="s">
        <v>114</v>
      </c>
      <c r="S59" t="s">
        <v>115</v>
      </c>
      <c r="T59" t="s">
        <v>115</v>
      </c>
      <c r="U59" t="s">
        <v>115</v>
      </c>
      <c r="V59" t="s">
        <v>839</v>
      </c>
      <c r="W59" t="s">
        <v>840</v>
      </c>
      <c r="X59" t="s">
        <v>776</v>
      </c>
      <c r="Y59" t="s">
        <v>160</v>
      </c>
      <c r="Z59" t="s">
        <v>160</v>
      </c>
      <c r="AA59" t="s">
        <v>121</v>
      </c>
      <c r="AB59" t="s">
        <v>122</v>
      </c>
      <c r="AC59" t="s">
        <v>260</v>
      </c>
      <c r="AD59" t="s">
        <v>261</v>
      </c>
      <c r="AE59" t="s">
        <v>841</v>
      </c>
      <c r="AF59" t="s">
        <v>124</v>
      </c>
      <c r="AG59" t="s">
        <v>125</v>
      </c>
      <c r="AH59" t="s">
        <v>54</v>
      </c>
      <c r="AI59" t="s">
        <v>842</v>
      </c>
      <c r="AJ59" t="s">
        <v>54</v>
      </c>
      <c r="AK59" t="s">
        <v>54</v>
      </c>
      <c r="AL59" t="s">
        <v>54</v>
      </c>
      <c r="AM59" t="s">
        <v>843</v>
      </c>
      <c r="AN59" t="s">
        <v>844</v>
      </c>
      <c r="AO59" t="s">
        <v>845</v>
      </c>
      <c r="AP59" t="s">
        <v>846</v>
      </c>
      <c r="AQ59" t="s">
        <v>847</v>
      </c>
      <c r="AR59" t="s">
        <v>848</v>
      </c>
      <c r="AS59" t="s">
        <v>849</v>
      </c>
      <c r="AT59" t="s">
        <v>850</v>
      </c>
      <c r="AU59" t="s">
        <v>851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c2d379-d785-46b0-8636-f7173bc33880">
      <Terms xmlns="http://schemas.microsoft.com/office/infopath/2007/PartnerControls"/>
    </lcf76f155ced4ddcb4097134ff3c332f>
    <TaxCatchAll xmlns="1499b5a1-0c04-4938-aa69-31a6be06cca2" xsi:nil="true"/>
    <Deliverable xmlns="5ec2d379-d785-46b0-8636-f7173bc338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FB278F55A41B4D9D3248AAACB689B9" ma:contentTypeVersion="13" ma:contentTypeDescription="Create a new document." ma:contentTypeScope="" ma:versionID="71c46bfc214de98532c824187d8cda97">
  <xsd:schema xmlns:xsd="http://www.w3.org/2001/XMLSchema" xmlns:xs="http://www.w3.org/2001/XMLSchema" xmlns:p="http://schemas.microsoft.com/office/2006/metadata/properties" xmlns:ns2="5ec2d379-d785-46b0-8636-f7173bc33880" xmlns:ns3="1499b5a1-0c04-4938-aa69-31a6be06cca2" targetNamespace="http://schemas.microsoft.com/office/2006/metadata/properties" ma:root="true" ma:fieldsID="0438c191bc243e7276e104aaaa82e932" ns2:_="" ns3:_="">
    <xsd:import namespace="5ec2d379-d785-46b0-8636-f7173bc33880"/>
    <xsd:import namespace="1499b5a1-0c04-4938-aa69-31a6be06cc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liverabl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2d379-d785-46b0-8636-f7173bc338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56f9a43-c9a4-4e1f-b283-6749085c60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Deliverable" ma:index="19" nillable="true" ma:displayName="Deliverable" ma:format="Dropdown" ma:internalName="Deliverable">
      <xsd:simpleType>
        <xsd:restriction base="dms:Choice">
          <xsd:enumeration value="Deliverable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9b5a1-0c04-4938-aa69-31a6be06cca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4601f0-7b05-4e22-af03-57ade8473ff6}" ma:internalName="TaxCatchAll" ma:showField="CatchAllData" ma:web="1499b5a1-0c04-4938-aa69-31a6be06c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A46655-AB60-4E16-8207-AF36389D8D90}"/>
</file>

<file path=customXml/itemProps2.xml><?xml version="1.0" encoding="utf-8"?>
<ds:datastoreItem xmlns:ds="http://schemas.openxmlformats.org/officeDocument/2006/customXml" ds:itemID="{7E0D3A5F-457C-436B-A86C-567524A8E22C}"/>
</file>

<file path=customXml/itemProps3.xml><?xml version="1.0" encoding="utf-8"?>
<ds:datastoreItem xmlns:ds="http://schemas.openxmlformats.org/officeDocument/2006/customXml" ds:itemID="{B4D38809-C03E-45DD-86F6-7D006B9BA4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2025-07-31T14:32:52Z</dcterms:created>
  <dcterms:modified xsi:type="dcterms:W3CDTF">2026-09-21T09:53:23Z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0x01010037FB278F55A41B4D9D3248AAACB689B9</vt:lpwstr>
  </property>
  <property fmtid="{D5CDD505-2E9C-101B-9397-08002B2CF9AE}" pid="3" name="MediaServiceImageTags">
    <vt:lpwstr/>
  </property>
</Properties>
</file>