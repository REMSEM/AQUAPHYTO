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orage-dh.slu.se\home$\ceek0003\My Documents\Ansökan\ESA\Submission\"/>
    </mc:Choice>
  </mc:AlternateContent>
  <xr:revisionPtr revIDLastSave="0" documentId="8_{DDD3FD68-58BA-48BE-8553-93B9AAD87F7E}" xr6:coauthVersionLast="47" xr6:coauthVersionMax="47" xr10:uidLastSave="{00000000-0000-0000-0000-000000000000}"/>
  <bookViews>
    <workbookView xWindow="-120" yWindow="-120" windowWidth="29040" windowHeight="15720" firstSheet="1" activeTab="1" xr2:uid="{FF4CAFF0-5E2D-4370-A917-6CA7BE17F003}"/>
  </bookViews>
  <sheets>
    <sheet name="Full list of samples" sheetId="2" r:id="rId1"/>
    <sheet name="Summary" sheetId="3" r:id="rId2"/>
    <sheet name="Aquatime_Phytoplankton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<sst xmlns="http://schemas.openxmlformats.org/spreadsheetml/2006/main" count="1674" uniqueCount="82">
  <si>
    <t>List of Lugol samples sent from SLU September/October 2024 - batch 1</t>
  </si>
  <si>
    <t>Malin Olofsson / Manuela Seehauser</t>
  </si>
  <si>
    <t>malin.olofsson@slu.se / manuela.seehauser@slu.se</t>
  </si>
  <si>
    <t xml:space="preserve">Falcon tube number </t>
  </si>
  <si>
    <t>SLU, Uppsala</t>
  </si>
  <si>
    <t>for analysis reference</t>
  </si>
  <si>
    <t>Sample name</t>
  </si>
  <si>
    <t>Sampling Nr.on the label</t>
  </si>
  <si>
    <t>Date/week of collection</t>
  </si>
  <si>
    <t>Dalarö Sur. A</t>
  </si>
  <si>
    <t>12.03.2024</t>
  </si>
  <si>
    <t>27.03.2024</t>
  </si>
  <si>
    <t>10.04.2024</t>
  </si>
  <si>
    <t>15.04.2024</t>
  </si>
  <si>
    <t>23.04.2024</t>
  </si>
  <si>
    <t>30.04.2024</t>
  </si>
  <si>
    <t>07.05.2024</t>
  </si>
  <si>
    <t>17.05.2024</t>
  </si>
  <si>
    <t>22.05.2024</t>
  </si>
  <si>
    <t>28.05.2024</t>
  </si>
  <si>
    <t>04.06.2024</t>
  </si>
  <si>
    <t>11.06.2024</t>
  </si>
  <si>
    <t>18.06.2024</t>
  </si>
  <si>
    <t>24.06.2024</t>
  </si>
  <si>
    <t>03.07.2024</t>
  </si>
  <si>
    <t>10.07.2024</t>
  </si>
  <si>
    <t>16.07.2024</t>
  </si>
  <si>
    <t>22.07.2024</t>
  </si>
  <si>
    <t>30.07.2024</t>
  </si>
  <si>
    <t>06.08.2024</t>
  </si>
  <si>
    <t>14.08.2024</t>
  </si>
  <si>
    <t>20.08.2024</t>
  </si>
  <si>
    <t>29.08.2024</t>
  </si>
  <si>
    <t>04.09.2024</t>
  </si>
  <si>
    <t>12.09.2024</t>
  </si>
  <si>
    <t>19.09.2024</t>
  </si>
  <si>
    <t>24.09.2024</t>
  </si>
  <si>
    <t>Abundance [unit number/l]</t>
  </si>
  <si>
    <t>Cyanobacteria</t>
  </si>
  <si>
    <t>Cryptophyta</t>
  </si>
  <si>
    <t>Dinoflagellata</t>
  </si>
  <si>
    <t>Haptophyta</t>
  </si>
  <si>
    <t>Chrysophyceae</t>
  </si>
  <si>
    <t>Bacillariophyceae</t>
  </si>
  <si>
    <t>Euglenophyta</t>
  </si>
  <si>
    <t>Chlorophyta</t>
  </si>
  <si>
    <t>CILIOPHORA</t>
  </si>
  <si>
    <t>PROTOZOA INCERTAE SEDIS</t>
  </si>
  <si>
    <t>Flagellates</t>
  </si>
  <si>
    <t>Inceartae sedis</t>
  </si>
  <si>
    <t>Total</t>
  </si>
  <si>
    <t>Biovolume [ug/L]</t>
  </si>
  <si>
    <t>Station</t>
  </si>
  <si>
    <t>Sampling date</t>
  </si>
  <si>
    <t>Colour group</t>
  </si>
  <si>
    <t>Pigments</t>
  </si>
  <si>
    <t>Taxonomic Group</t>
  </si>
  <si>
    <t>Taxa</t>
  </si>
  <si>
    <t>Counts (cells/L)</t>
  </si>
  <si>
    <t>Biomass (µg/l)</t>
  </si>
  <si>
    <t>References</t>
  </si>
  <si>
    <t>Dalarö</t>
  </si>
  <si>
    <t>Cyano</t>
  </si>
  <si>
    <t xml:space="preserve">Chla, Xanthophyll, Myxoxanthophyll, Zeaxanthin, Allophycocyanin, Phycocyanin, (Phycoerythrin), (Phycoerythrocyanin) </t>
  </si>
  <si>
    <t>Cyanophyta</t>
  </si>
  <si>
    <t>Seppälä 2009</t>
  </si>
  <si>
    <t>Crypto-PE</t>
  </si>
  <si>
    <r>
      <t>Chla, Chlc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, Alloxanthin, (Phycocyanin), (Phycoerythrin)</t>
    </r>
  </si>
  <si>
    <t>Brown?</t>
  </si>
  <si>
    <r>
      <t>Chla, Chlc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, (Alloxanthin), Diadinoxanthin, (Diatoxanthin), Peridinin,  (Phycoerythrin)</t>
    </r>
  </si>
  <si>
    <t>Golden-brown?</t>
  </si>
  <si>
    <r>
      <t>Chla, Chlc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, Chlc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, Chlc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, 19'-Butanoyloxyfucoxanthin, Diadinoxanthin, Diatoxanthin, Fuxoxanthin, 19'-Hexanoyloxyfucoxanthin</t>
    </r>
  </si>
  <si>
    <r>
      <t>Chla, Chlc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, Chlc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,  19'-Butanoyloxyfucoxanthin, Diadinoxanthin, Diatoxanthin, Fuxoxanthin, Violaxanthin</t>
    </r>
  </si>
  <si>
    <t>Golden brown?</t>
  </si>
  <si>
    <t>Chla, Chlc, Carotenoids, Fucoxanthin,  Diadinoxanthin, Diatoxanthin</t>
  </si>
  <si>
    <r>
      <t>Sto</t>
    </r>
    <r>
      <rPr>
        <sz val="12"/>
        <color theme="1"/>
        <rFont val="Aptos Narrow"/>
        <family val="2"/>
      </rPr>
      <t>ń</t>
    </r>
    <r>
      <rPr>
        <sz val="12"/>
        <color theme="1"/>
        <rFont val="Calibri"/>
        <family val="2"/>
        <scheme val="minor"/>
      </rPr>
      <t>-Egiert et al. 2010</t>
    </r>
  </si>
  <si>
    <t>Green?</t>
  </si>
  <si>
    <t>Chla, Chlb, Diadinoxanthin, Diatoxanthin, Neoxanthin, Zeaxanthin</t>
  </si>
  <si>
    <t>Green</t>
  </si>
  <si>
    <t>Chla, Chlb, Antheraxanthin, Lutein, Neoxanthin, Violaxanthin, Zeaxanthin</t>
  </si>
  <si>
    <t>Ingested pigments only?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</si>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</sst>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5" fillId="0" borderId="0"/>
    <xf numFmtId="0" fontId="5" fillId="0" borderId="0"/>
  </cellStyleXfs>
  <cellXfs count="49">
    <xf numFmtId="0" fontId="0" fillId="0" borderId="0" xfId="0"/>
    <xf numFmtId="0" fontId="1" fillId="0" borderId="0" xfId="1"/>
    <xf numFmtId="0" fontId="1" fillId="0" borderId="1" xfId="1" applyBorder="1"/>
    <xf numFmtId="0" fontId="1" fillId="0" borderId="1" xfId="1" applyBorder="1" applyAlignment="1">
      <alignment horizontal="left" vertical="center"/>
    </xf>
    <xf numFmtId="0" fontId="1" fillId="3" borderId="1" xfId="1" applyFill="1" applyBorder="1" applyAlignment="1">
      <alignment horizontal="left" vertical="center"/>
    </xf>
    <xf numFmtId="0" fontId="1" fillId="4" borderId="1" xfId="1" applyFill="1" applyBorder="1"/>
    <xf numFmtId="0" fontId="1" fillId="4" borderId="1" xfId="1" applyFill="1" applyBorder="1" applyAlignment="1">
      <alignment horizontal="left" vertical="center"/>
    </xf>
    <xf numFmtId="0" fontId="1" fillId="4" borderId="2" xfId="1" applyFill="1" applyBorder="1"/>
    <xf numFmtId="0" fontId="2" fillId="0" borderId="1" xfId="1" applyFont="1" applyBorder="1"/>
    <xf numFmtId="0" fontId="2" fillId="0" borderId="1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2" xfId="1" applyFont="1" applyBorder="1"/>
    <xf numFmtId="0" fontId="2" fillId="0" borderId="4" xfId="1" applyFont="1" applyBorder="1"/>
    <xf numFmtId="0" fontId="1" fillId="0" borderId="4" xfId="1" applyBorder="1"/>
    <xf numFmtId="0" fontId="3" fillId="0" borderId="0" xfId="2"/>
    <xf numFmtId="2" fontId="4" fillId="0" borderId="0" xfId="2" applyNumberFormat="1" applyFont="1"/>
    <xf numFmtId="4" fontId="4" fillId="0" borderId="0" xfId="2" applyNumberFormat="1" applyFont="1" applyAlignment="1">
      <alignment horizontal="right"/>
    </xf>
    <xf numFmtId="0" fontId="4" fillId="0" borderId="0" xfId="2" applyFont="1"/>
    <xf numFmtId="2" fontId="3" fillId="0" borderId="0" xfId="2" applyNumberFormat="1"/>
    <xf numFmtId="4" fontId="6" fillId="0" borderId="0" xfId="3" applyNumberFormat="1" applyFont="1" applyAlignment="1">
      <alignment horizontal="right" vertical="center"/>
    </xf>
    <xf numFmtId="0" fontId="6" fillId="6" borderId="1" xfId="3" applyFont="1" applyFill="1" applyBorder="1" applyAlignment="1">
      <alignment horizontal="left" vertical="center"/>
    </xf>
    <xf numFmtId="4" fontId="5" fillId="0" borderId="0" xfId="3" applyNumberFormat="1" applyAlignment="1">
      <alignment horizontal="right"/>
    </xf>
    <xf numFmtId="0" fontId="5" fillId="7" borderId="1" xfId="3" applyFill="1" applyBorder="1"/>
    <xf numFmtId="0" fontId="5" fillId="8" borderId="1" xfId="3" applyFill="1" applyBorder="1"/>
    <xf numFmtId="4" fontId="5" fillId="0" borderId="0" xfId="4" applyNumberFormat="1" applyAlignment="1">
      <alignment horizontal="right"/>
    </xf>
    <xf numFmtId="0" fontId="5" fillId="2" borderId="0" xfId="4" applyFill="1"/>
    <xf numFmtId="0" fontId="5" fillId="9" borderId="1" xfId="3" applyFill="1" applyBorder="1"/>
    <xf numFmtId="0" fontId="5" fillId="10" borderId="0" xfId="4" applyFill="1"/>
    <xf numFmtId="0" fontId="5" fillId="11" borderId="0" xfId="4" applyFill="1"/>
    <xf numFmtId="0" fontId="5" fillId="12" borderId="1" xfId="3" applyFill="1" applyBorder="1"/>
    <xf numFmtId="0" fontId="5" fillId="13" borderId="1" xfId="3" applyFill="1" applyBorder="1"/>
    <xf numFmtId="0" fontId="5" fillId="14" borderId="1" xfId="3" applyFill="1" applyBorder="1"/>
    <xf numFmtId="0" fontId="5" fillId="5" borderId="1" xfId="3" applyFill="1" applyBorder="1"/>
    <xf numFmtId="0" fontId="7" fillId="0" borderId="0" xfId="2" applyFont="1"/>
    <xf numFmtId="3" fontId="7" fillId="0" borderId="0" xfId="4" applyNumberFormat="1" applyFont="1" applyAlignment="1">
      <alignment horizontal="right"/>
    </xf>
    <xf numFmtId="2" fontId="6" fillId="0" borderId="0" xfId="4" applyNumberFormat="1" applyFont="1" applyAlignment="1">
      <alignment horizontal="left"/>
    </xf>
    <xf numFmtId="3" fontId="4" fillId="0" borderId="0" xfId="2" applyNumberFormat="1" applyFont="1"/>
    <xf numFmtId="3" fontId="4" fillId="0" borderId="0" xfId="2" applyNumberFormat="1" applyFont="1" applyAlignment="1">
      <alignment horizontal="right"/>
    </xf>
    <xf numFmtId="3" fontId="3" fillId="0" borderId="0" xfId="2" applyNumberFormat="1"/>
    <xf numFmtId="3" fontId="6" fillId="0" borderId="0" xfId="3" applyNumberFormat="1" applyFont="1" applyAlignment="1">
      <alignment horizontal="left" vertical="center"/>
    </xf>
    <xf numFmtId="3" fontId="6" fillId="0" borderId="0" xfId="3" applyNumberFormat="1" applyFont="1" applyAlignment="1">
      <alignment horizontal="right" vertical="center"/>
    </xf>
    <xf numFmtId="3" fontId="5" fillId="0" borderId="0" xfId="3" applyNumberFormat="1"/>
    <xf numFmtId="3" fontId="5" fillId="0" borderId="0" xfId="3" applyNumberFormat="1" applyAlignment="1">
      <alignment horizontal="right"/>
    </xf>
    <xf numFmtId="3" fontId="5" fillId="0" borderId="0" xfId="4" applyNumberFormat="1"/>
    <xf numFmtId="3" fontId="5" fillId="0" borderId="0" xfId="4" applyNumberFormat="1" applyAlignment="1">
      <alignment horizontal="right"/>
    </xf>
    <xf numFmtId="3" fontId="6" fillId="0" borderId="0" xfId="4" applyNumberFormat="1" applyFont="1" applyAlignment="1">
      <alignment horizontal="left"/>
    </xf>
    <xf numFmtId="0" fontId="2" fillId="0" borderId="0" xfId="0" applyFont="1"/>
    <xf numFmtId="0" fontId="2" fillId="0" borderId="1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5">
    <cellStyle name="Normal" xfId="0" builtinId="0"/>
    <cellStyle name="Normal 2" xfId="2" xr:uid="{0F4A12F1-53B7-9B48-A6FD-F482F1E96AB8}"/>
    <cellStyle name="Normalny 2" xfId="3" xr:uid="{7414C901-E9DB-DF41-A446-D8A5D6A1FFAE}"/>
    <cellStyle name="Normalny 2 3" xfId="4" xr:uid="{D08B49A9-32A8-E646-A9A1-67F7969156B9}"/>
    <cellStyle name="Normalny 3" xfId="1" xr:uid="{CFDE2E5E-174E-A340-B898-224448D46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Abundance [N/L]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Cyanobacteria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Summary!$C$4:$AC$4</c:f>
              <c:numCache>
                <c:formatCode>#,##0</c:formatCode>
                <c:ptCount val="27"/>
                <c:pt idx="0">
                  <c:v>26684.782608695652</c:v>
                </c:pt>
                <c:pt idx="1">
                  <c:v>71607.270579565637</c:v>
                </c:pt>
                <c:pt idx="2">
                  <c:v>35579.710144927536</c:v>
                </c:pt>
                <c:pt idx="3">
                  <c:v>0</c:v>
                </c:pt>
                <c:pt idx="4">
                  <c:v>0</c:v>
                </c:pt>
                <c:pt idx="5">
                  <c:v>250</c:v>
                </c:pt>
                <c:pt idx="6">
                  <c:v>3192.5961246694701</c:v>
                </c:pt>
                <c:pt idx="7">
                  <c:v>0</c:v>
                </c:pt>
                <c:pt idx="8">
                  <c:v>128976.44927536231</c:v>
                </c:pt>
                <c:pt idx="9">
                  <c:v>355335.68262603495</c:v>
                </c:pt>
                <c:pt idx="10">
                  <c:v>64233.478260869568</c:v>
                </c:pt>
                <c:pt idx="11">
                  <c:v>77748.22922536738</c:v>
                </c:pt>
                <c:pt idx="12">
                  <c:v>123556.13052147903</c:v>
                </c:pt>
                <c:pt idx="13">
                  <c:v>221992.73736760733</c:v>
                </c:pt>
                <c:pt idx="14">
                  <c:v>144880.51889879015</c:v>
                </c:pt>
                <c:pt idx="15">
                  <c:v>76773.659697236784</c:v>
                </c:pt>
                <c:pt idx="16">
                  <c:v>564673.30833586212</c:v>
                </c:pt>
                <c:pt idx="17">
                  <c:v>1941496.527771757</c:v>
                </c:pt>
                <c:pt idx="18">
                  <c:v>514204.40941667755</c:v>
                </c:pt>
                <c:pt idx="19">
                  <c:v>647673.21304026397</c:v>
                </c:pt>
                <c:pt idx="20">
                  <c:v>296449.55375429464</c:v>
                </c:pt>
                <c:pt idx="21">
                  <c:v>330001.81159420294</c:v>
                </c:pt>
                <c:pt idx="22">
                  <c:v>391866.34299998556</c:v>
                </c:pt>
                <c:pt idx="23">
                  <c:v>320277.39130434784</c:v>
                </c:pt>
                <c:pt idx="24">
                  <c:v>302739.70118629618</c:v>
                </c:pt>
                <c:pt idx="25">
                  <c:v>432231.72330833587</c:v>
                </c:pt>
                <c:pt idx="26">
                  <c:v>175099.14929125665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7-EE45-A5EE-D6A1DABFE395}"/>
            </c:ext>
          </c:extLst>
        </c:ser>
        <c:ser>
          <c:idx val="1"/>
          <c:order val="1"/>
          <c:tx>
            <c:strRef>
              <c:f>Summary!$B$5</c:f>
              <c:strCache>
                <c:ptCount val="1"/>
                <c:pt idx="0">
                  <c:v>Cryptophyta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Summary!$C$5:$AC$5</c:f>
              <c:numCache>
                <c:formatCode>#,##0</c:formatCode>
                <c:ptCount val="27"/>
                <c:pt idx="0">
                  <c:v>53369.565217391304</c:v>
                </c:pt>
                <c:pt idx="1">
                  <c:v>0</c:v>
                </c:pt>
                <c:pt idx="2">
                  <c:v>0</c:v>
                </c:pt>
                <c:pt idx="3">
                  <c:v>26684.782608695652</c:v>
                </c:pt>
                <c:pt idx="4">
                  <c:v>8894.927536231884</c:v>
                </c:pt>
                <c:pt idx="5">
                  <c:v>1223.82851445663</c:v>
                </c:pt>
                <c:pt idx="6">
                  <c:v>1064.1987082231567</c:v>
                </c:pt>
                <c:pt idx="7">
                  <c:v>35579.710144927536</c:v>
                </c:pt>
                <c:pt idx="8">
                  <c:v>2368.7003505612197</c:v>
                </c:pt>
                <c:pt idx="9">
                  <c:v>71159.420289855072</c:v>
                </c:pt>
                <c:pt idx="10">
                  <c:v>8894.927536231884</c:v>
                </c:pt>
                <c:pt idx="11">
                  <c:v>8894.927536231884</c:v>
                </c:pt>
                <c:pt idx="12">
                  <c:v>26684.782608695652</c:v>
                </c:pt>
                <c:pt idx="13">
                  <c:v>35579.710144927536</c:v>
                </c:pt>
                <c:pt idx="14">
                  <c:v>0</c:v>
                </c:pt>
                <c:pt idx="15">
                  <c:v>48255.499202874467</c:v>
                </c:pt>
                <c:pt idx="16">
                  <c:v>204583.33333333334</c:v>
                </c:pt>
                <c:pt idx="17">
                  <c:v>80054.34782608696</c:v>
                </c:pt>
                <c:pt idx="18">
                  <c:v>133423.91304347824</c:v>
                </c:pt>
                <c:pt idx="19">
                  <c:v>169003.62318840579</c:v>
                </c:pt>
                <c:pt idx="20">
                  <c:v>382481.88405797101</c:v>
                </c:pt>
                <c:pt idx="21">
                  <c:v>329112.31884057971</c:v>
                </c:pt>
                <c:pt idx="22">
                  <c:v>311322.46376811597</c:v>
                </c:pt>
                <c:pt idx="23">
                  <c:v>97844.20289855072</c:v>
                </c:pt>
                <c:pt idx="24">
                  <c:v>204583.33333333334</c:v>
                </c:pt>
                <c:pt idx="25">
                  <c:v>106739.13043478262</c:v>
                </c:pt>
                <c:pt idx="26">
                  <c:v>186793.47826086957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7-EE45-A5EE-D6A1DABFE395}"/>
            </c:ext>
          </c:extLst>
        </c:ser>
        <c:ser>
          <c:idx val="2"/>
          <c:order val="2"/>
          <c:tx>
            <c:strRef>
              <c:f>Summary!$B$6</c:f>
              <c:strCache>
                <c:ptCount val="1"/>
                <c:pt idx="0">
                  <c:v>Dinoflagellata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Summary!$C$6:$AC$6</c:f>
              <c:numCache>
                <c:formatCode>#,##0</c:formatCode>
                <c:ptCount val="27"/>
                <c:pt idx="0">
                  <c:v>5000</c:v>
                </c:pt>
                <c:pt idx="1">
                  <c:v>22237.318840579708</c:v>
                </c:pt>
                <c:pt idx="2">
                  <c:v>255780.15952143568</c:v>
                </c:pt>
                <c:pt idx="3">
                  <c:v>48057.439998844049</c:v>
                </c:pt>
                <c:pt idx="4">
                  <c:v>299598.54133252415</c:v>
                </c:pt>
                <c:pt idx="5">
                  <c:v>1447097.4034418485</c:v>
                </c:pt>
                <c:pt idx="6">
                  <c:v>656551.4808232307</c:v>
                </c:pt>
                <c:pt idx="7">
                  <c:v>248932.04083401969</c:v>
                </c:pt>
                <c:pt idx="8">
                  <c:v>71061.010516836599</c:v>
                </c:pt>
                <c:pt idx="9">
                  <c:v>7832.5024925224343</c:v>
                </c:pt>
                <c:pt idx="10">
                  <c:v>4895.3140578265202</c:v>
                </c:pt>
                <c:pt idx="11">
                  <c:v>979.06281156530429</c:v>
                </c:pt>
                <c:pt idx="12">
                  <c:v>11342.584565145145</c:v>
                </c:pt>
                <c:pt idx="13">
                  <c:v>39251.195688297434</c:v>
                </c:pt>
                <c:pt idx="14">
                  <c:v>12391.580434679396</c:v>
                </c:pt>
                <c:pt idx="15">
                  <c:v>44773.204540966472</c:v>
                </c:pt>
                <c:pt idx="16">
                  <c:v>20727.04350715968</c:v>
                </c:pt>
                <c:pt idx="17">
                  <c:v>35251.582209892062</c:v>
                </c:pt>
                <c:pt idx="18">
                  <c:v>73607.077318768337</c:v>
                </c:pt>
                <c:pt idx="19">
                  <c:v>38516.898579623448</c:v>
                </c:pt>
                <c:pt idx="20">
                  <c:v>0</c:v>
                </c:pt>
                <c:pt idx="21">
                  <c:v>18768.917884029073</c:v>
                </c:pt>
                <c:pt idx="22">
                  <c:v>31580.096666522175</c:v>
                </c:pt>
                <c:pt idx="23">
                  <c:v>38027.367173840801</c:v>
                </c:pt>
                <c:pt idx="24">
                  <c:v>11342.584565145144</c:v>
                </c:pt>
                <c:pt idx="25">
                  <c:v>12616.413079601774</c:v>
                </c:pt>
                <c:pt idx="26">
                  <c:v>54593.393731847937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7-EE45-A5EE-D6A1DABFE395}"/>
            </c:ext>
          </c:extLst>
        </c:ser>
        <c:ser>
          <c:idx val="3"/>
          <c:order val="3"/>
          <c:tx>
            <c:strRef>
              <c:f>Summary!$B$7</c:f>
              <c:strCache>
                <c:ptCount val="1"/>
                <c:pt idx="0">
                  <c:v>Haptophyta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Summary!$C$7:$AC$7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1223.82851445663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979.06281156530429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17789.855072463768</c:v>
                </c:pt>
                <c:pt idx="16">
                  <c:v>0</c:v>
                </c:pt>
                <c:pt idx="17">
                  <c:v>0</c:v>
                </c:pt>
                <c:pt idx="18">
                  <c:v>2447.6570289132601</c:v>
                </c:pt>
                <c:pt idx="19">
                  <c:v>0</c:v>
                </c:pt>
                <c:pt idx="20">
                  <c:v>53369.565217391304</c:v>
                </c:pt>
                <c:pt idx="21">
                  <c:v>0</c:v>
                </c:pt>
                <c:pt idx="22">
                  <c:v>8894.927536231884</c:v>
                </c:pt>
                <c:pt idx="23">
                  <c:v>26684.782608695652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E7-EE45-A5EE-D6A1DABFE395}"/>
            </c:ext>
          </c:extLst>
        </c:ser>
        <c:ser>
          <c:idx val="4"/>
          <c:order val="4"/>
          <c:tx>
            <c:strRef>
              <c:f>Summary!$B$8</c:f>
              <c:strCache>
                <c:ptCount val="1"/>
                <c:pt idx="0">
                  <c:v>Chrysophyceae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Summary!$C$8:$AC$8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8894.927536231884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E7-EE45-A5EE-D6A1DABFE395}"/>
            </c:ext>
          </c:extLst>
        </c:ser>
        <c:ser>
          <c:idx val="5"/>
          <c:order val="5"/>
          <c:tx>
            <c:strRef>
              <c:f>Summary!$B$9</c:f>
              <c:strCache>
                <c:ptCount val="1"/>
                <c:pt idx="0">
                  <c:v>Bacillariophyceae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Summary!$C$9:$AC$9</c:f>
              <c:numCache>
                <c:formatCode>#,##0</c:formatCode>
                <c:ptCount val="27"/>
                <c:pt idx="0">
                  <c:v>420138.46865201497</c:v>
                </c:pt>
                <c:pt idx="1">
                  <c:v>2420586.4742728332</c:v>
                </c:pt>
                <c:pt idx="2">
                  <c:v>2435808.1884780438</c:v>
                </c:pt>
                <c:pt idx="3">
                  <c:v>2772865.0013726931</c:v>
                </c:pt>
                <c:pt idx="4">
                  <c:v>3384967.7778259427</c:v>
                </c:pt>
                <c:pt idx="5">
                  <c:v>123606.67996011964</c:v>
                </c:pt>
                <c:pt idx="6">
                  <c:v>140524.22948545669</c:v>
                </c:pt>
                <c:pt idx="7">
                  <c:v>0</c:v>
                </c:pt>
                <c:pt idx="8">
                  <c:v>47682.904815241047</c:v>
                </c:pt>
                <c:pt idx="9">
                  <c:v>169899.32376782695</c:v>
                </c:pt>
                <c:pt idx="10">
                  <c:v>146986.0267025012</c:v>
                </c:pt>
                <c:pt idx="11">
                  <c:v>8911.5653040877387</c:v>
                </c:pt>
                <c:pt idx="12">
                  <c:v>8894.927536231884</c:v>
                </c:pt>
                <c:pt idx="13">
                  <c:v>90173.10387677548</c:v>
                </c:pt>
                <c:pt idx="14">
                  <c:v>13557.13140082857</c:v>
                </c:pt>
                <c:pt idx="15">
                  <c:v>6745.8373671256759</c:v>
                </c:pt>
                <c:pt idx="16">
                  <c:v>4016.2512462612176</c:v>
                </c:pt>
                <c:pt idx="17">
                  <c:v>6119.14257228315</c:v>
                </c:pt>
                <c:pt idx="18">
                  <c:v>0</c:v>
                </c:pt>
                <c:pt idx="19">
                  <c:v>2081.307709524488</c:v>
                </c:pt>
                <c:pt idx="20">
                  <c:v>2447.6570289132601</c:v>
                </c:pt>
                <c:pt idx="21">
                  <c:v>0</c:v>
                </c:pt>
                <c:pt idx="22">
                  <c:v>19521.626425072609</c:v>
                </c:pt>
                <c:pt idx="23">
                  <c:v>1223.82851445663</c:v>
                </c:pt>
                <c:pt idx="24">
                  <c:v>1523.82851445663</c:v>
                </c:pt>
                <c:pt idx="25">
                  <c:v>12438.2851445663</c:v>
                </c:pt>
                <c:pt idx="26">
                  <c:v>28854.311702573439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E7-EE45-A5EE-D6A1DABFE395}"/>
            </c:ext>
          </c:extLst>
        </c:ser>
        <c:ser>
          <c:idx val="6"/>
          <c:order val="6"/>
          <c:tx>
            <c:strRef>
              <c:f>Summary!$B$10</c:f>
              <c:strCache>
                <c:ptCount val="1"/>
                <c:pt idx="0">
                  <c:v>Euglenophyta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Summary!$C$10:$AC$10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8894.927536231884</c:v>
                </c:pt>
                <c:pt idx="3">
                  <c:v>1223.82851445663</c:v>
                </c:pt>
                <c:pt idx="4">
                  <c:v>8894.927536231884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8894.927536231884</c:v>
                </c:pt>
                <c:pt idx="13">
                  <c:v>2447.6570289132601</c:v>
                </c:pt>
                <c:pt idx="14">
                  <c:v>0</c:v>
                </c:pt>
                <c:pt idx="15">
                  <c:v>5929.9516908212554</c:v>
                </c:pt>
                <c:pt idx="16">
                  <c:v>17789.855072463768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19013.683586920397</c:v>
                </c:pt>
                <c:pt idx="24">
                  <c:v>8894.927536231884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E7-EE45-A5EE-D6A1DABFE395}"/>
            </c:ext>
          </c:extLst>
        </c:ser>
        <c:ser>
          <c:idx val="7"/>
          <c:order val="7"/>
          <c:tx>
            <c:strRef>
              <c:f>Summary!$B$11</c:f>
              <c:strCache>
                <c:ptCount val="1"/>
                <c:pt idx="0">
                  <c:v>Chlorophyta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Summary!$C$11:$AC$11</c:f>
              <c:numCache>
                <c:formatCode>#,##0</c:formatCode>
                <c:ptCount val="27"/>
                <c:pt idx="0">
                  <c:v>0</c:v>
                </c:pt>
                <c:pt idx="1">
                  <c:v>88949.275362318833</c:v>
                </c:pt>
                <c:pt idx="2">
                  <c:v>26684.782608695652</c:v>
                </c:pt>
                <c:pt idx="3">
                  <c:v>0</c:v>
                </c:pt>
                <c:pt idx="4">
                  <c:v>8894.927536231884</c:v>
                </c:pt>
                <c:pt idx="5">
                  <c:v>0</c:v>
                </c:pt>
                <c:pt idx="6">
                  <c:v>7449.3909575620974</c:v>
                </c:pt>
                <c:pt idx="7">
                  <c:v>0</c:v>
                </c:pt>
                <c:pt idx="8">
                  <c:v>35579.710144927536</c:v>
                </c:pt>
                <c:pt idx="9">
                  <c:v>44474.637681159424</c:v>
                </c:pt>
                <c:pt idx="10">
                  <c:v>0</c:v>
                </c:pt>
                <c:pt idx="11">
                  <c:v>26684.782608695652</c:v>
                </c:pt>
                <c:pt idx="12">
                  <c:v>8894.927536231884</c:v>
                </c:pt>
                <c:pt idx="13">
                  <c:v>106739.13043478262</c:v>
                </c:pt>
                <c:pt idx="14">
                  <c:v>62264.492753623184</c:v>
                </c:pt>
                <c:pt idx="15">
                  <c:v>65979.468599033804</c:v>
                </c:pt>
                <c:pt idx="16">
                  <c:v>80054.347826086945</c:v>
                </c:pt>
                <c:pt idx="17">
                  <c:v>8894.927536231884</c:v>
                </c:pt>
                <c:pt idx="18">
                  <c:v>20805.08474576271</c:v>
                </c:pt>
                <c:pt idx="19">
                  <c:v>62264.492753623184</c:v>
                </c:pt>
                <c:pt idx="20">
                  <c:v>151213.76811594202</c:v>
                </c:pt>
                <c:pt idx="21">
                  <c:v>204583.33333333334</c:v>
                </c:pt>
                <c:pt idx="22">
                  <c:v>35579.710144927536</c:v>
                </c:pt>
                <c:pt idx="23">
                  <c:v>80054.34782608696</c:v>
                </c:pt>
                <c:pt idx="24">
                  <c:v>222373.18840579712</c:v>
                </c:pt>
                <c:pt idx="25">
                  <c:v>62264.492753623184</c:v>
                </c:pt>
                <c:pt idx="26">
                  <c:v>177898.55072463769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E7-EE45-A5EE-D6A1DABFE395}"/>
            </c:ext>
          </c:extLst>
        </c:ser>
        <c:ser>
          <c:idx val="8"/>
          <c:order val="8"/>
          <c:tx>
            <c:strRef>
              <c:f>Summary!$B$12</c:f>
              <c:strCache>
                <c:ptCount val="1"/>
                <c:pt idx="0">
                  <c:v>CILIOPHORA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Summary!$C$12:$AC$12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25700.398803589233</c:v>
                </c:pt>
                <c:pt idx="3">
                  <c:v>6119.14257228315</c:v>
                </c:pt>
                <c:pt idx="4">
                  <c:v>30028.140217030068</c:v>
                </c:pt>
                <c:pt idx="5">
                  <c:v>49369.951738985939</c:v>
                </c:pt>
                <c:pt idx="6">
                  <c:v>112250.79291112168</c:v>
                </c:pt>
                <c:pt idx="7">
                  <c:v>28559.545999682116</c:v>
                </c:pt>
                <c:pt idx="8">
                  <c:v>6032.6239324919115</c:v>
                </c:pt>
                <c:pt idx="9">
                  <c:v>18602.193419740779</c:v>
                </c:pt>
                <c:pt idx="10">
                  <c:v>24804.698224168074</c:v>
                </c:pt>
                <c:pt idx="11">
                  <c:v>6853.4396809571299</c:v>
                </c:pt>
                <c:pt idx="12">
                  <c:v>20805.084745762713</c:v>
                </c:pt>
                <c:pt idx="13">
                  <c:v>54832.838441198139</c:v>
                </c:pt>
                <c:pt idx="14">
                  <c:v>9324.4077291933718</c:v>
                </c:pt>
                <c:pt idx="15">
                  <c:v>31819.541375872388</c:v>
                </c:pt>
                <c:pt idx="16">
                  <c:v>8811.5653040877387</c:v>
                </c:pt>
                <c:pt idx="17">
                  <c:v>30028.140217030068</c:v>
                </c:pt>
                <c:pt idx="18">
                  <c:v>3671.4855433698904</c:v>
                </c:pt>
                <c:pt idx="19">
                  <c:v>1958.1256231306086</c:v>
                </c:pt>
                <c:pt idx="20">
                  <c:v>1223.82851445663</c:v>
                </c:pt>
                <c:pt idx="21">
                  <c:v>17789.855072463768</c:v>
                </c:pt>
                <c:pt idx="22">
                  <c:v>17053.784299276085</c:v>
                </c:pt>
                <c:pt idx="23">
                  <c:v>14685.942173479561</c:v>
                </c:pt>
                <c:pt idx="24">
                  <c:v>11014.456630109671</c:v>
                </c:pt>
                <c:pt idx="25">
                  <c:v>17789.855072463768</c:v>
                </c:pt>
                <c:pt idx="26">
                  <c:v>12566.413079601774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E7-EE45-A5EE-D6A1DABFE395}"/>
            </c:ext>
          </c:extLst>
        </c:ser>
        <c:ser>
          <c:idx val="9"/>
          <c:order val="9"/>
          <c:tx>
            <c:strRef>
              <c:f>Summary!$B$13</c:f>
              <c:strCache>
                <c:ptCount val="1"/>
                <c:pt idx="0">
                  <c:v>PROTOZOA INCERTAE SEDIS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Summary!$C$13:$AC$13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8894.927536231884</c:v>
                </c:pt>
                <c:pt idx="4">
                  <c:v>0</c:v>
                </c:pt>
                <c:pt idx="5">
                  <c:v>0</c:v>
                </c:pt>
                <c:pt idx="6">
                  <c:v>14824.879227053138</c:v>
                </c:pt>
                <c:pt idx="7">
                  <c:v>8894.927536231884</c:v>
                </c:pt>
                <c:pt idx="8">
                  <c:v>0</c:v>
                </c:pt>
                <c:pt idx="9">
                  <c:v>1958.1256231306086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1165.5509661491715</c:v>
                </c:pt>
                <c:pt idx="15">
                  <c:v>0</c:v>
                </c:pt>
                <c:pt idx="16">
                  <c:v>2937.1884346959127</c:v>
                </c:pt>
                <c:pt idx="17">
                  <c:v>3671.4855433698904</c:v>
                </c:pt>
                <c:pt idx="18">
                  <c:v>53369.565217391304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3671.4855433698904</c:v>
                </c:pt>
                <c:pt idx="24">
                  <c:v>3671.4855433698904</c:v>
                </c:pt>
                <c:pt idx="25">
                  <c:v>1223.82851445663</c:v>
                </c:pt>
                <c:pt idx="26">
                  <c:v>1223.82851445663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E7-EE45-A5EE-D6A1DABFE395}"/>
            </c:ext>
          </c:extLst>
        </c:ser>
        <c:ser>
          <c:idx val="10"/>
          <c:order val="10"/>
          <c:tx>
            <c:strRef>
              <c:f>Summary!$B$14</c:f>
              <c:strCache>
                <c:ptCount val="1"/>
                <c:pt idx="0">
                  <c:v>Flagellates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Summary!$C$14:$AC$14</c:f>
              <c:numCache>
                <c:formatCode>#,##0</c:formatCode>
                <c:ptCount val="27"/>
                <c:pt idx="0">
                  <c:v>25700.398803589233</c:v>
                </c:pt>
                <c:pt idx="1">
                  <c:v>311322.46376811591</c:v>
                </c:pt>
                <c:pt idx="2">
                  <c:v>7342.9710867397807</c:v>
                </c:pt>
                <c:pt idx="3">
                  <c:v>0</c:v>
                </c:pt>
                <c:pt idx="4">
                  <c:v>0</c:v>
                </c:pt>
                <c:pt idx="5">
                  <c:v>31819.541375872381</c:v>
                </c:pt>
                <c:pt idx="6">
                  <c:v>28733.365122025232</c:v>
                </c:pt>
                <c:pt idx="7">
                  <c:v>44474.637681159424</c:v>
                </c:pt>
                <c:pt idx="8">
                  <c:v>35579.710144927536</c:v>
                </c:pt>
                <c:pt idx="9">
                  <c:v>942862.31884057971</c:v>
                </c:pt>
                <c:pt idx="10">
                  <c:v>871702.89855072461</c:v>
                </c:pt>
                <c:pt idx="11">
                  <c:v>1725615.9420289854</c:v>
                </c:pt>
                <c:pt idx="12">
                  <c:v>747173.91304347827</c:v>
                </c:pt>
                <c:pt idx="13">
                  <c:v>480326.08695652173</c:v>
                </c:pt>
                <c:pt idx="14">
                  <c:v>515905.79710144928</c:v>
                </c:pt>
                <c:pt idx="15">
                  <c:v>628574.87922705314</c:v>
                </c:pt>
                <c:pt idx="16">
                  <c:v>800543.47826086963</c:v>
                </c:pt>
                <c:pt idx="17">
                  <c:v>1458768.1159420288</c:v>
                </c:pt>
                <c:pt idx="18">
                  <c:v>800543.47826086963</c:v>
                </c:pt>
                <c:pt idx="19">
                  <c:v>105738.78364905287</c:v>
                </c:pt>
                <c:pt idx="20">
                  <c:v>507010.86956521741</c:v>
                </c:pt>
                <c:pt idx="21">
                  <c:v>213478.26086956522</c:v>
                </c:pt>
                <c:pt idx="22">
                  <c:v>364692.0289855072</c:v>
                </c:pt>
                <c:pt idx="23">
                  <c:v>649329.71014492749</c:v>
                </c:pt>
                <c:pt idx="24">
                  <c:v>613750</c:v>
                </c:pt>
                <c:pt idx="25">
                  <c:v>275742.75362318842</c:v>
                </c:pt>
                <c:pt idx="26">
                  <c:v>418061.59420289856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E7-EE45-A5EE-D6A1DABFE395}"/>
            </c:ext>
          </c:extLst>
        </c:ser>
        <c:ser>
          <c:idx val="11"/>
          <c:order val="11"/>
          <c:tx>
            <c:strRef>
              <c:f>Summary!$B$15</c:f>
              <c:strCache>
                <c:ptCount val="1"/>
                <c:pt idx="0">
                  <c:v>Inceartae sedis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Summary!$C$15:$AC$15</c:f>
              <c:numCache>
                <c:formatCode>#,##0</c:formatCode>
                <c:ptCount val="27"/>
                <c:pt idx="0">
                  <c:v>12238.2851445663</c:v>
                </c:pt>
                <c:pt idx="1">
                  <c:v>389153.0797101449</c:v>
                </c:pt>
                <c:pt idx="2">
                  <c:v>367139.68601442053</c:v>
                </c:pt>
                <c:pt idx="3">
                  <c:v>284637.68115942029</c:v>
                </c:pt>
                <c:pt idx="4">
                  <c:v>133423.91304347827</c:v>
                </c:pt>
                <c:pt idx="5">
                  <c:v>1223.82851445663</c:v>
                </c:pt>
                <c:pt idx="6">
                  <c:v>4256.7948328926268</c:v>
                </c:pt>
                <c:pt idx="7">
                  <c:v>0</c:v>
                </c:pt>
                <c:pt idx="8">
                  <c:v>17789.855072463768</c:v>
                </c:pt>
                <c:pt idx="9">
                  <c:v>17789.855072463768</c:v>
                </c:pt>
                <c:pt idx="10">
                  <c:v>0</c:v>
                </c:pt>
                <c:pt idx="11">
                  <c:v>26684.782608695652</c:v>
                </c:pt>
                <c:pt idx="12">
                  <c:v>0</c:v>
                </c:pt>
                <c:pt idx="13">
                  <c:v>17789.855072463768</c:v>
                </c:pt>
                <c:pt idx="14">
                  <c:v>53369.565217391311</c:v>
                </c:pt>
                <c:pt idx="15">
                  <c:v>17789.855072463768</c:v>
                </c:pt>
                <c:pt idx="16">
                  <c:v>0</c:v>
                </c:pt>
                <c:pt idx="17">
                  <c:v>0</c:v>
                </c:pt>
                <c:pt idx="18">
                  <c:v>177898.55072463769</c:v>
                </c:pt>
                <c:pt idx="19">
                  <c:v>90907.400985449451</c:v>
                </c:pt>
                <c:pt idx="20">
                  <c:v>0</c:v>
                </c:pt>
                <c:pt idx="21">
                  <c:v>35579.710144927536</c:v>
                </c:pt>
                <c:pt idx="22">
                  <c:v>8894.927536231884</c:v>
                </c:pt>
                <c:pt idx="23">
                  <c:v>17789.855072463768</c:v>
                </c:pt>
                <c:pt idx="24">
                  <c:v>0</c:v>
                </c:pt>
                <c:pt idx="25">
                  <c:v>8894.927536231884</c:v>
                </c:pt>
                <c:pt idx="26">
                  <c:v>17789.855072463768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CE7-EE45-A5EE-D6A1DABFE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4442975"/>
        <c:axId val="1214440095"/>
      </c:barChart>
      <c:catAx>
        <c:axId val="121444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0095"/>
        <c:crosses val="autoZero"/>
        <c:auto val="1"/>
        <c:lblAlgn val="ctr"/>
        <c:lblOffset val="100"/>
        <c:noMultiLvlLbl val="0"/>
      </c:catAx>
      <c:valAx>
        <c:axId val="12144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Biovolume [ug/L]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Summary!$B$21</c:f>
              <c:strCache>
                <c:ptCount val="1"/>
                <c:pt idx="0">
                  <c:v>Cyanobacteria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Summary!$C$21:$AC$21</c:f>
              <c:numCache>
                <c:formatCode>#,##0.00</c:formatCode>
                <c:ptCount val="27"/>
                <c:pt idx="0">
                  <c:v>1.4139599184782607</c:v>
                </c:pt>
                <c:pt idx="1">
                  <c:v>5.5560142046121586</c:v>
                </c:pt>
                <c:pt idx="2">
                  <c:v>3.1421331521739129</c:v>
                </c:pt>
                <c:pt idx="3">
                  <c:v>0</c:v>
                </c:pt>
                <c:pt idx="4">
                  <c:v>0</c:v>
                </c:pt>
                <c:pt idx="5">
                  <c:v>2.374625</c:v>
                </c:pt>
                <c:pt idx="6">
                  <c:v>0.22931619814469636</c:v>
                </c:pt>
                <c:pt idx="7">
                  <c:v>0</c:v>
                </c:pt>
                <c:pt idx="8">
                  <c:v>18.620048309178742</c:v>
                </c:pt>
                <c:pt idx="9">
                  <c:v>63.677443505029899</c:v>
                </c:pt>
                <c:pt idx="10">
                  <c:v>27.966971730072466</c:v>
                </c:pt>
                <c:pt idx="11">
                  <c:v>36.391668455021417</c:v>
                </c:pt>
                <c:pt idx="12">
                  <c:v>46.338284075536066</c:v>
                </c:pt>
                <c:pt idx="13">
                  <c:v>82.892857068363142</c:v>
                </c:pt>
                <c:pt idx="14">
                  <c:v>129.84526659066967</c:v>
                </c:pt>
                <c:pt idx="15" formatCode="0.00">
                  <c:v>51.519236326357081</c:v>
                </c:pt>
                <c:pt idx="16" formatCode="0.00">
                  <c:v>190.29795686942799</c:v>
                </c:pt>
                <c:pt idx="17" formatCode="0.00">
                  <c:v>769.09406251708492</c:v>
                </c:pt>
                <c:pt idx="18" formatCode="0.00">
                  <c:v>372.90491591142182</c:v>
                </c:pt>
                <c:pt idx="19" formatCode="0.00">
                  <c:v>458.06335481313073</c:v>
                </c:pt>
                <c:pt idx="20" formatCode="0.00">
                  <c:v>513.41086445521569</c:v>
                </c:pt>
                <c:pt idx="21" formatCode="0.00">
                  <c:v>282.06463805857487</c:v>
                </c:pt>
                <c:pt idx="22" formatCode="0.00">
                  <c:v>54.958845480466813</c:v>
                </c:pt>
                <c:pt idx="23" formatCode="0.00">
                  <c:v>52.240544057971015</c:v>
                </c:pt>
                <c:pt idx="24" formatCode="0.00">
                  <c:v>171.34696842067393</c:v>
                </c:pt>
                <c:pt idx="25" formatCode="0.00">
                  <c:v>284.29888341437044</c:v>
                </c:pt>
                <c:pt idx="26" formatCode="0.00">
                  <c:v>54.993868488315243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0-724F-8D0C-256E36B7F35D}"/>
            </c:ext>
          </c:extLst>
        </c:ser>
        <c:ser>
          <c:idx val="1"/>
          <c:order val="1"/>
          <c:tx>
            <c:strRef>
              <c:f>Summary!$B$22</c:f>
              <c:strCache>
                <c:ptCount val="1"/>
                <c:pt idx="0">
                  <c:v>Cryptophyta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Summary!$C$22:$AC$22</c:f>
              <c:numCache>
                <c:formatCode>#,##0.00</c:formatCode>
                <c:ptCount val="27"/>
                <c:pt idx="0">
                  <c:v>6.3575827445652173</c:v>
                </c:pt>
                <c:pt idx="1">
                  <c:v>0</c:v>
                </c:pt>
                <c:pt idx="2">
                  <c:v>0</c:v>
                </c:pt>
                <c:pt idx="3">
                  <c:v>5.9875092844202893</c:v>
                </c:pt>
                <c:pt idx="4">
                  <c:v>1.9958364281400964</c:v>
                </c:pt>
                <c:pt idx="5">
                  <c:v>0.27460162221668322</c:v>
                </c:pt>
                <c:pt idx="6">
                  <c:v>0.23878401931885501</c:v>
                </c:pt>
                <c:pt idx="7">
                  <c:v>2.4102779721467393</c:v>
                </c:pt>
                <c:pt idx="8">
                  <c:v>0.16270010532917378</c:v>
                </c:pt>
                <c:pt idx="9">
                  <c:v>4.6525391021286238</c:v>
                </c:pt>
                <c:pt idx="10">
                  <c:v>0.61097033514492749</c:v>
                </c:pt>
                <c:pt idx="11">
                  <c:v>0.61097033514492749</c:v>
                </c:pt>
                <c:pt idx="12">
                  <c:v>1.8329110054347828</c:v>
                </c:pt>
                <c:pt idx="13">
                  <c:v>2.44388134057971</c:v>
                </c:pt>
                <c:pt idx="14">
                  <c:v>0</c:v>
                </c:pt>
                <c:pt idx="15" formatCode="0.00">
                  <c:v>8.7080526392563939</c:v>
                </c:pt>
                <c:pt idx="16" formatCode="0.00">
                  <c:v>13.346646971240943</c:v>
                </c:pt>
                <c:pt idx="17" formatCode="0.00">
                  <c:v>5.2971128057065222</c:v>
                </c:pt>
                <c:pt idx="18" formatCode="0.00">
                  <c:v>19.268258740942027</c:v>
                </c:pt>
                <c:pt idx="19" formatCode="0.00">
                  <c:v>11.406816157155797</c:v>
                </c:pt>
                <c:pt idx="20" formatCode="0.00">
                  <c:v>33.162451507774762</c:v>
                </c:pt>
                <c:pt idx="21" formatCode="0.00">
                  <c:v>28.111763403910022</c:v>
                </c:pt>
                <c:pt idx="22" formatCode="0.00">
                  <c:v>33.847756567028981</c:v>
                </c:pt>
                <c:pt idx="23" formatCode="0.00">
                  <c:v>15.029870244565217</c:v>
                </c:pt>
                <c:pt idx="24" formatCode="0.00">
                  <c:v>27.900978638285022</c:v>
                </c:pt>
                <c:pt idx="25" formatCode="0.00">
                  <c:v>10.067772839296497</c:v>
                </c:pt>
                <c:pt idx="26" formatCode="0.00">
                  <c:v>16.917768580163042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0-724F-8D0C-256E36B7F35D}"/>
            </c:ext>
          </c:extLst>
        </c:ser>
        <c:ser>
          <c:idx val="2"/>
          <c:order val="2"/>
          <c:tx>
            <c:strRef>
              <c:f>Summary!$B$23</c:f>
              <c:strCache>
                <c:ptCount val="1"/>
                <c:pt idx="0">
                  <c:v>Dinoflagellata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Summary!$C$23:$AC$23</c:f>
              <c:numCache>
                <c:formatCode>#,##0.00</c:formatCode>
                <c:ptCount val="27"/>
                <c:pt idx="0">
                  <c:v>39.332817500000004</c:v>
                </c:pt>
                <c:pt idx="1">
                  <c:v>7.4621116453898697</c:v>
                </c:pt>
                <c:pt idx="2">
                  <c:v>1703.0859859255568</c:v>
                </c:pt>
                <c:pt idx="3">
                  <c:v>257.18688512148299</c:v>
                </c:pt>
                <c:pt idx="4">
                  <c:v>1973.4844510308023</c:v>
                </c:pt>
                <c:pt idx="5">
                  <c:v>8613.8744096148948</c:v>
                </c:pt>
                <c:pt idx="6">
                  <c:v>4958.1749124822527</c:v>
                </c:pt>
                <c:pt idx="7">
                  <c:v>1666.7306860339102</c:v>
                </c:pt>
                <c:pt idx="8">
                  <c:v>531.11296061727455</c:v>
                </c:pt>
                <c:pt idx="9">
                  <c:v>34.556495800598206</c:v>
                </c:pt>
                <c:pt idx="10">
                  <c:v>97.271420114656024</c:v>
                </c:pt>
                <c:pt idx="11">
                  <c:v>23.056929212362913</c:v>
                </c:pt>
                <c:pt idx="12">
                  <c:v>39.105434012102798</c:v>
                </c:pt>
                <c:pt idx="13">
                  <c:v>80.98517181320527</c:v>
                </c:pt>
                <c:pt idx="14">
                  <c:v>39.215286328976816</c:v>
                </c:pt>
                <c:pt idx="15" formatCode="0.00">
                  <c:v>82.695129788169723</c:v>
                </c:pt>
                <c:pt idx="16" formatCode="0.00">
                  <c:v>75.140476953400636</c:v>
                </c:pt>
                <c:pt idx="17" formatCode="0.00">
                  <c:v>256.23352838689573</c:v>
                </c:pt>
                <c:pt idx="18" formatCode="0.00">
                  <c:v>72.462172222766412</c:v>
                </c:pt>
                <c:pt idx="19" formatCode="0.00">
                  <c:v>111.295529430231</c:v>
                </c:pt>
                <c:pt idx="20" formatCode="0.00">
                  <c:v>0</c:v>
                </c:pt>
                <c:pt idx="21" formatCode="0.00">
                  <c:v>25.403055299319433</c:v>
                </c:pt>
                <c:pt idx="22" formatCode="0.00">
                  <c:v>81.519316540853538</c:v>
                </c:pt>
                <c:pt idx="23" formatCode="0.00">
                  <c:v>52.930867907655028</c:v>
                </c:pt>
                <c:pt idx="24" formatCode="0.00">
                  <c:v>58.815386074385522</c:v>
                </c:pt>
                <c:pt idx="25" formatCode="0.00">
                  <c:v>96.767703922309309</c:v>
                </c:pt>
                <c:pt idx="26" formatCode="0.00">
                  <c:v>7.5210180720776076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30-724F-8D0C-256E36B7F35D}"/>
            </c:ext>
          </c:extLst>
        </c:ser>
        <c:ser>
          <c:idx val="3"/>
          <c:order val="3"/>
          <c:tx>
            <c:strRef>
              <c:f>Summary!$B$24</c:f>
              <c:strCache>
                <c:ptCount val="1"/>
                <c:pt idx="0">
                  <c:v>Haptophyta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Summary!$C$24:$AC$24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4.3231742273180461E-2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3.4585393818544377E-2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1.1637530193236714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8.6463484546360922E-2</c:v>
                </c:pt>
                <c:pt idx="19" formatCode="0.00">
                  <c:v>0</c:v>
                </c:pt>
                <c:pt idx="20" formatCode="0.00">
                  <c:v>1.8852798913043478</c:v>
                </c:pt>
                <c:pt idx="21" formatCode="0.00">
                  <c:v>0</c:v>
                </c:pt>
                <c:pt idx="22" formatCode="0.00">
                  <c:v>0.31421331521739138</c:v>
                </c:pt>
                <c:pt idx="23" formatCode="0.00">
                  <c:v>0.94263994565217391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30-724F-8D0C-256E36B7F35D}"/>
            </c:ext>
          </c:extLst>
        </c:ser>
        <c:ser>
          <c:idx val="4"/>
          <c:order val="4"/>
          <c:tx>
            <c:strRef>
              <c:f>Summary!$B$25</c:f>
              <c:strCache>
                <c:ptCount val="1"/>
                <c:pt idx="0">
                  <c:v>Chrysophyceae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Summary!$C$25:$AC$25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0.58187650966183557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30-724F-8D0C-256E36B7F35D}"/>
            </c:ext>
          </c:extLst>
        </c:ser>
        <c:ser>
          <c:idx val="5"/>
          <c:order val="5"/>
          <c:tx>
            <c:strRef>
              <c:f>Summary!$B$26</c:f>
              <c:strCache>
                <c:ptCount val="1"/>
                <c:pt idx="0">
                  <c:v>Bacillariophyceae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Summary!$C$26:$AC$26</c:f>
              <c:numCache>
                <c:formatCode>#,##0.00</c:formatCode>
                <c:ptCount val="27"/>
                <c:pt idx="0">
                  <c:v>188.28510656498557</c:v>
                </c:pt>
                <c:pt idx="1">
                  <c:v>608.25942914252312</c:v>
                </c:pt>
                <c:pt idx="2">
                  <c:v>842.73774186821333</c:v>
                </c:pt>
                <c:pt idx="3">
                  <c:v>915.6472862227854</c:v>
                </c:pt>
                <c:pt idx="4">
                  <c:v>1175.8341278094485</c:v>
                </c:pt>
                <c:pt idx="5">
                  <c:v>34.050935056081755</c:v>
                </c:pt>
                <c:pt idx="6">
                  <c:v>619.021008751463</c:v>
                </c:pt>
                <c:pt idx="7">
                  <c:v>0</c:v>
                </c:pt>
                <c:pt idx="8">
                  <c:v>40.659342346968742</c:v>
                </c:pt>
                <c:pt idx="9">
                  <c:v>93.142103439026215</c:v>
                </c:pt>
                <c:pt idx="10">
                  <c:v>43.180126863720425</c:v>
                </c:pt>
                <c:pt idx="11">
                  <c:v>155.12726222083757</c:v>
                </c:pt>
                <c:pt idx="12">
                  <c:v>5.6927536231884064</c:v>
                </c:pt>
                <c:pt idx="13">
                  <c:v>67.105437950342818</c:v>
                </c:pt>
                <c:pt idx="14">
                  <c:v>8.3031639108409117</c:v>
                </c:pt>
                <c:pt idx="15" formatCode="0.00">
                  <c:v>6.1700467438264912</c:v>
                </c:pt>
                <c:pt idx="16" formatCode="0.00">
                  <c:v>6.8261615154536415</c:v>
                </c:pt>
                <c:pt idx="17" formatCode="0.00">
                  <c:v>5.5053093519441667</c:v>
                </c:pt>
                <c:pt idx="18" formatCode="0.00">
                  <c:v>0</c:v>
                </c:pt>
                <c:pt idx="19" formatCode="0.00">
                  <c:v>32.302194365881945</c:v>
                </c:pt>
                <c:pt idx="20" formatCode="0.00">
                  <c:v>25.999624875373879</c:v>
                </c:pt>
                <c:pt idx="21" formatCode="0.00">
                  <c:v>0</c:v>
                </c:pt>
                <c:pt idx="22" formatCode="0.00">
                  <c:v>12.682426202145376</c:v>
                </c:pt>
                <c:pt idx="23" formatCode="0.00">
                  <c:v>3.8428215353938184</c:v>
                </c:pt>
                <c:pt idx="24" formatCode="0.00">
                  <c:v>8.4721626230682947</c:v>
                </c:pt>
                <c:pt idx="25" formatCode="0.00">
                  <c:v>39.830629006729808</c:v>
                </c:pt>
                <c:pt idx="26" formatCode="0.00">
                  <c:v>18.76566248739741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30-724F-8D0C-256E36B7F35D}"/>
            </c:ext>
          </c:extLst>
        </c:ser>
        <c:ser>
          <c:idx val="6"/>
          <c:order val="6"/>
          <c:tx>
            <c:strRef>
              <c:f>Summary!$B$27</c:f>
              <c:strCache>
                <c:ptCount val="1"/>
                <c:pt idx="0">
                  <c:v>Euglenophyta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Summary!$C$27:$AC$27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6.7032173913043476</c:v>
                </c:pt>
                <c:pt idx="3">
                  <c:v>0.64047025589896966</c:v>
                </c:pt>
                <c:pt idx="4">
                  <c:v>6.7032173913043476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6.7032173913043476</c:v>
                </c:pt>
                <c:pt idx="13">
                  <c:v>1.2809405117979393</c:v>
                </c:pt>
                <c:pt idx="14">
                  <c:v>0</c:v>
                </c:pt>
                <c:pt idx="15" formatCode="0.00">
                  <c:v>4.4688115942028981</c:v>
                </c:pt>
                <c:pt idx="16" formatCode="0.00">
                  <c:v>13.406434782608695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10.232301323083888</c:v>
                </c:pt>
                <c:pt idx="24" formatCode="0.00">
                  <c:v>6.7032173913043476</c:v>
                </c:pt>
                <c:pt idx="25" formatCode="0.00">
                  <c:v>0</c:v>
                </c:pt>
                <c:pt idx="2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30-724F-8D0C-256E36B7F35D}"/>
            </c:ext>
          </c:extLst>
        </c:ser>
        <c:ser>
          <c:idx val="7"/>
          <c:order val="7"/>
          <c:tx>
            <c:strRef>
              <c:f>Summary!$B$28</c:f>
              <c:strCache>
                <c:ptCount val="1"/>
                <c:pt idx="0">
                  <c:v>Chlorophyta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Summary!$C$28:$AC$28</c:f>
              <c:numCache>
                <c:formatCode>#,##0.00</c:formatCode>
                <c:ptCount val="27"/>
                <c:pt idx="0">
                  <c:v>0</c:v>
                </c:pt>
                <c:pt idx="1">
                  <c:v>1.6758043478260864</c:v>
                </c:pt>
                <c:pt idx="2">
                  <c:v>2.3023630434782612</c:v>
                </c:pt>
                <c:pt idx="3">
                  <c:v>0</c:v>
                </c:pt>
                <c:pt idx="4">
                  <c:v>0.3636728185386473</c:v>
                </c:pt>
                <c:pt idx="5">
                  <c:v>0</c:v>
                </c:pt>
                <c:pt idx="6">
                  <c:v>0.87664693295566209</c:v>
                </c:pt>
                <c:pt idx="7">
                  <c:v>0</c:v>
                </c:pt>
                <c:pt idx="8">
                  <c:v>1.2178005911269625</c:v>
                </c:pt>
                <c:pt idx="9">
                  <c:v>3.4108377943840584</c:v>
                </c:pt>
                <c:pt idx="10">
                  <c:v>0</c:v>
                </c:pt>
                <c:pt idx="11">
                  <c:v>2.3023630434782612</c:v>
                </c:pt>
                <c:pt idx="12">
                  <c:v>1.0673913043478263</c:v>
                </c:pt>
                <c:pt idx="13">
                  <c:v>9.978585439311594</c:v>
                </c:pt>
                <c:pt idx="14">
                  <c:v>13.23837995169082</c:v>
                </c:pt>
                <c:pt idx="15" formatCode="0.00">
                  <c:v>9.4609480978260869</c:v>
                </c:pt>
                <c:pt idx="16" formatCode="0.00">
                  <c:v>7.8068999999999997</c:v>
                </c:pt>
                <c:pt idx="17" formatCode="0.00">
                  <c:v>1.0673913043478263</c:v>
                </c:pt>
                <c:pt idx="18" formatCode="0.00">
                  <c:v>2.0014001994017945</c:v>
                </c:pt>
                <c:pt idx="19" formatCode="0.00">
                  <c:v>4.7723065217391314</c:v>
                </c:pt>
                <c:pt idx="20" formatCode="0.00">
                  <c:v>23.144201177536232</c:v>
                </c:pt>
                <c:pt idx="21" formatCode="0.00">
                  <c:v>38.328895048309178</c:v>
                </c:pt>
                <c:pt idx="22" formatCode="0.00">
                  <c:v>3.3697543478260865</c:v>
                </c:pt>
                <c:pt idx="23" formatCode="0.00">
                  <c:v>5.9561917270531408</c:v>
                </c:pt>
                <c:pt idx="24" formatCode="0.00">
                  <c:v>35.957803864734302</c:v>
                </c:pt>
                <c:pt idx="25" formatCode="0.00">
                  <c:v>8.8059782608695656</c:v>
                </c:pt>
                <c:pt idx="26" formatCode="0.00">
                  <c:v>16.817817391304349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30-724F-8D0C-256E36B7F35D}"/>
            </c:ext>
          </c:extLst>
        </c:ser>
        <c:ser>
          <c:idx val="8"/>
          <c:order val="8"/>
          <c:tx>
            <c:strRef>
              <c:f>Summary!$B$29</c:f>
              <c:strCache>
                <c:ptCount val="1"/>
                <c:pt idx="0">
                  <c:v>CILIOPHORA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Summary!$C$29:$AC$29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404.70965213084702</c:v>
                </c:pt>
                <c:pt idx="3">
                  <c:v>13.509919460368891</c:v>
                </c:pt>
                <c:pt idx="4">
                  <c:v>188.2498138698337</c:v>
                </c:pt>
                <c:pt idx="5">
                  <c:v>460.17282080177603</c:v>
                </c:pt>
                <c:pt idx="6">
                  <c:v>1027.8716834152067</c:v>
                </c:pt>
                <c:pt idx="7">
                  <c:v>218.04295716460601</c:v>
                </c:pt>
                <c:pt idx="8">
                  <c:v>18.48915031752632</c:v>
                </c:pt>
                <c:pt idx="9">
                  <c:v>83.529330186523779</c:v>
                </c:pt>
                <c:pt idx="10">
                  <c:v>89.902422579690722</c:v>
                </c:pt>
                <c:pt idx="11">
                  <c:v>78.053309498587595</c:v>
                </c:pt>
                <c:pt idx="12">
                  <c:v>267.13113712248668</c:v>
                </c:pt>
                <c:pt idx="13">
                  <c:v>121.65861953668544</c:v>
                </c:pt>
                <c:pt idx="14">
                  <c:v>23.612575282584782</c:v>
                </c:pt>
                <c:pt idx="15" formatCode="0.00">
                  <c:v>492.67507278511687</c:v>
                </c:pt>
                <c:pt idx="16" formatCode="0.00">
                  <c:v>241.00895729478236</c:v>
                </c:pt>
                <c:pt idx="17" formatCode="0.00">
                  <c:v>283.29583189968139</c:v>
                </c:pt>
                <c:pt idx="18" formatCode="0.00">
                  <c:v>51.878090727816549</c:v>
                </c:pt>
                <c:pt idx="19" formatCode="0.00">
                  <c:v>27.668315054835499</c:v>
                </c:pt>
                <c:pt idx="20" formatCode="0.00">
                  <c:v>40.990096377534059</c:v>
                </c:pt>
                <c:pt idx="21" formatCode="0.00">
                  <c:v>39.276664402173914</c:v>
                </c:pt>
                <c:pt idx="22" formatCode="0.00">
                  <c:v>65.578729931506814</c:v>
                </c:pt>
                <c:pt idx="23" formatCode="0.00">
                  <c:v>162.03146923162802</c:v>
                </c:pt>
                <c:pt idx="24" formatCode="0.00">
                  <c:v>95.515130584808077</c:v>
                </c:pt>
                <c:pt idx="25" formatCode="0.00">
                  <c:v>50.823276390775959</c:v>
                </c:pt>
                <c:pt idx="26" formatCode="0.00">
                  <c:v>29.065271909353079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30-724F-8D0C-256E36B7F35D}"/>
            </c:ext>
          </c:extLst>
        </c:ser>
        <c:ser>
          <c:idx val="9"/>
          <c:order val="9"/>
          <c:tx>
            <c:strRef>
              <c:f>Summary!$B$30</c:f>
              <c:strCache>
                <c:ptCount val="1"/>
                <c:pt idx="0">
                  <c:v>PROTOZOA INCERTAE SEDIS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Summary!$C$30:$AC$30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25.45709729770531</c:v>
                </c:pt>
                <c:pt idx="4">
                  <c:v>0</c:v>
                </c:pt>
                <c:pt idx="5">
                  <c:v>0</c:v>
                </c:pt>
                <c:pt idx="6">
                  <c:v>42.428495496175515</c:v>
                </c:pt>
                <c:pt idx="7">
                  <c:v>25.45709729770531</c:v>
                </c:pt>
                <c:pt idx="8">
                  <c:v>0</c:v>
                </c:pt>
                <c:pt idx="9">
                  <c:v>5.6041147391159862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3.3357825828071337</c:v>
                </c:pt>
                <c:pt idx="15" formatCode="0.00">
                  <c:v>0</c:v>
                </c:pt>
                <c:pt idx="16" formatCode="0.00">
                  <c:v>8.406172108673978</c:v>
                </c:pt>
                <c:pt idx="17" formatCode="0.00">
                  <c:v>10.507715135842473</c:v>
                </c:pt>
                <c:pt idx="18" formatCode="0.00">
                  <c:v>152.74258378623188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10.507715135842473</c:v>
                </c:pt>
                <c:pt idx="24" formatCode="0.00">
                  <c:v>10.507715135842473</c:v>
                </c:pt>
                <c:pt idx="25" formatCode="0.00">
                  <c:v>3.5025717119474904</c:v>
                </c:pt>
                <c:pt idx="26" formatCode="0.00">
                  <c:v>3.5025717119474904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30-724F-8D0C-256E36B7F35D}"/>
            </c:ext>
          </c:extLst>
        </c:ser>
        <c:ser>
          <c:idx val="10"/>
          <c:order val="10"/>
          <c:tx>
            <c:strRef>
              <c:f>Summary!$B$31</c:f>
              <c:strCache>
                <c:ptCount val="1"/>
                <c:pt idx="0">
                  <c:v>Flagellates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Summary!$C$31:$AC$31</c:f>
              <c:numCache>
                <c:formatCode>#,##0.00</c:formatCode>
                <c:ptCount val="27"/>
                <c:pt idx="0">
                  <c:v>0.27506196021311063</c:v>
                </c:pt>
                <c:pt idx="1">
                  <c:v>3.9653065769361406</c:v>
                </c:pt>
                <c:pt idx="2">
                  <c:v>0.13834157527417748</c:v>
                </c:pt>
                <c:pt idx="3">
                  <c:v>0</c:v>
                </c:pt>
                <c:pt idx="4">
                  <c:v>0</c:v>
                </c:pt>
                <c:pt idx="5">
                  <c:v>0.52976897510593213</c:v>
                </c:pt>
                <c:pt idx="6">
                  <c:v>0.51102738828351912</c:v>
                </c:pt>
                <c:pt idx="7">
                  <c:v>0.58456768851902163</c:v>
                </c:pt>
                <c:pt idx="8">
                  <c:v>0.29032001103940219</c:v>
                </c:pt>
                <c:pt idx="9">
                  <c:v>4.8434673318614134</c:v>
                </c:pt>
                <c:pt idx="10">
                  <c:v>10.596189444633152</c:v>
                </c:pt>
                <c:pt idx="11">
                  <c:v>30.699295507812501</c:v>
                </c:pt>
                <c:pt idx="12">
                  <c:v>15.668770652173915</c:v>
                </c:pt>
                <c:pt idx="13">
                  <c:v>21.387452989130438</c:v>
                </c:pt>
                <c:pt idx="14">
                  <c:v>13.301697010869564</c:v>
                </c:pt>
                <c:pt idx="15" formatCode="0.00">
                  <c:v>5.9312127321105068</c:v>
                </c:pt>
                <c:pt idx="16" formatCode="0.00">
                  <c:v>12.168892548403532</c:v>
                </c:pt>
                <c:pt idx="17" formatCode="0.00">
                  <c:v>8.9897738705842389</c:v>
                </c:pt>
                <c:pt idx="18" formatCode="0.00">
                  <c:v>7.2288700832201087</c:v>
                </c:pt>
                <c:pt idx="19" formatCode="0.00">
                  <c:v>0.70943289070289151</c:v>
                </c:pt>
                <c:pt idx="20" formatCode="0.00">
                  <c:v>9.552084782608695</c:v>
                </c:pt>
                <c:pt idx="21" formatCode="0.00">
                  <c:v>13.574015217391304</c:v>
                </c:pt>
                <c:pt idx="22" formatCode="0.00">
                  <c:v>7.6668048913043467</c:v>
                </c:pt>
                <c:pt idx="23" formatCode="0.00">
                  <c:v>15.90541255519701</c:v>
                </c:pt>
                <c:pt idx="24" formatCode="0.00">
                  <c:v>12.123069773267662</c:v>
                </c:pt>
                <c:pt idx="25" formatCode="0.00">
                  <c:v>4.3263245838994564</c:v>
                </c:pt>
                <c:pt idx="26" formatCode="0.00">
                  <c:v>5.5962700662364124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30-724F-8D0C-256E36B7F35D}"/>
            </c:ext>
          </c:extLst>
        </c:ser>
        <c:ser>
          <c:idx val="11"/>
          <c:order val="11"/>
          <c:tx>
            <c:strRef>
              <c:f>Summary!$B$32</c:f>
              <c:strCache>
                <c:ptCount val="1"/>
                <c:pt idx="0">
                  <c:v>Inceartae sedis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Summary!$C$32:$AC$32</c:f>
              <c:numCache>
                <c:formatCode>#,##0.00</c:formatCode>
                <c:ptCount val="27"/>
                <c:pt idx="0">
                  <c:v>5.8337233258557646</c:v>
                </c:pt>
                <c:pt idx="1">
                  <c:v>185.50077658891908</c:v>
                </c:pt>
                <c:pt idx="2">
                  <c:v>130.17450335899758</c:v>
                </c:pt>
                <c:pt idx="3">
                  <c:v>96.866146316425116</c:v>
                </c:pt>
                <c:pt idx="4">
                  <c:v>39.341252694746373</c:v>
                </c:pt>
                <c:pt idx="5">
                  <c:v>0.15499380192755066</c:v>
                </c:pt>
                <c:pt idx="6">
                  <c:v>0.48118808791018247</c:v>
                </c:pt>
                <c:pt idx="7">
                  <c:v>0</c:v>
                </c:pt>
                <c:pt idx="8">
                  <c:v>2.0109652173913042</c:v>
                </c:pt>
                <c:pt idx="9">
                  <c:v>18.183640926932366</c:v>
                </c:pt>
                <c:pt idx="10">
                  <c:v>0</c:v>
                </c:pt>
                <c:pt idx="11">
                  <c:v>11.102785680857487</c:v>
                </c:pt>
                <c:pt idx="12">
                  <c:v>0</c:v>
                </c:pt>
                <c:pt idx="13">
                  <c:v>10.097303072161836</c:v>
                </c:pt>
                <c:pt idx="14">
                  <c:v>6.153925966183575</c:v>
                </c:pt>
                <c:pt idx="15" formatCode="0.00">
                  <c:v>6.7315353814412227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84.80035501207729</c:v>
                </c:pt>
                <c:pt idx="19" formatCode="0.00">
                  <c:v>12.056295636640803</c:v>
                </c:pt>
                <c:pt idx="20" formatCode="0.00">
                  <c:v>0</c:v>
                </c:pt>
                <c:pt idx="21" formatCode="0.00">
                  <c:v>4.0219304347826084</c:v>
                </c:pt>
                <c:pt idx="22" formatCode="0.00">
                  <c:v>0.3351608695652174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1.0054826086956521</c:v>
                </c:pt>
                <c:pt idx="26" formatCode="0.00">
                  <c:v>2.0109652173913042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30-724F-8D0C-256E36B7F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4442975"/>
        <c:axId val="1214440095"/>
      </c:barChart>
      <c:catAx>
        <c:axId val="121444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0095"/>
        <c:crosses val="autoZero"/>
        <c:auto val="1"/>
        <c:lblAlgn val="ctr"/>
        <c:lblOffset val="100"/>
        <c:noMultiLvlLbl val="0"/>
      </c:catAx>
      <c:valAx>
        <c:axId val="12144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297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Abundance [N/L]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Cyanobacteria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Summary!$C$4:$AC$4</c:f>
              <c:numCache>
                <c:formatCode>#,##0</c:formatCode>
                <c:ptCount val="27"/>
                <c:pt idx="0">
                  <c:v>26684.782608695652</c:v>
                </c:pt>
                <c:pt idx="1">
                  <c:v>71607.270579565637</c:v>
                </c:pt>
                <c:pt idx="2">
                  <c:v>35579.710144927536</c:v>
                </c:pt>
                <c:pt idx="3">
                  <c:v>0</c:v>
                </c:pt>
                <c:pt idx="4">
                  <c:v>0</c:v>
                </c:pt>
                <c:pt idx="5">
                  <c:v>250</c:v>
                </c:pt>
                <c:pt idx="6">
                  <c:v>3192.5961246694701</c:v>
                </c:pt>
                <c:pt idx="7">
                  <c:v>0</c:v>
                </c:pt>
                <c:pt idx="8">
                  <c:v>128976.44927536231</c:v>
                </c:pt>
                <c:pt idx="9">
                  <c:v>355335.68262603495</c:v>
                </c:pt>
                <c:pt idx="10">
                  <c:v>64233.478260869568</c:v>
                </c:pt>
                <c:pt idx="11">
                  <c:v>77748.22922536738</c:v>
                </c:pt>
                <c:pt idx="12">
                  <c:v>123556.13052147903</c:v>
                </c:pt>
                <c:pt idx="13">
                  <c:v>221992.73736760733</c:v>
                </c:pt>
                <c:pt idx="14">
                  <c:v>144880.51889879015</c:v>
                </c:pt>
                <c:pt idx="15">
                  <c:v>76773.659697236784</c:v>
                </c:pt>
                <c:pt idx="16">
                  <c:v>564673.30833586212</c:v>
                </c:pt>
                <c:pt idx="17">
                  <c:v>1941496.527771757</c:v>
                </c:pt>
                <c:pt idx="18">
                  <c:v>514204.40941667755</c:v>
                </c:pt>
                <c:pt idx="19">
                  <c:v>647673.21304026397</c:v>
                </c:pt>
                <c:pt idx="20">
                  <c:v>296449.55375429464</c:v>
                </c:pt>
                <c:pt idx="21">
                  <c:v>330001.81159420294</c:v>
                </c:pt>
                <c:pt idx="22">
                  <c:v>391866.34299998556</c:v>
                </c:pt>
                <c:pt idx="23">
                  <c:v>320277.39130434784</c:v>
                </c:pt>
                <c:pt idx="24">
                  <c:v>302739.70118629618</c:v>
                </c:pt>
                <c:pt idx="25">
                  <c:v>432231.72330833587</c:v>
                </c:pt>
                <c:pt idx="26">
                  <c:v>175099.14929125665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F-6242-BBA4-D79BB4E8C52E}"/>
            </c:ext>
          </c:extLst>
        </c:ser>
        <c:ser>
          <c:idx val="1"/>
          <c:order val="1"/>
          <c:tx>
            <c:strRef>
              <c:f>Summary!$B$5</c:f>
              <c:strCache>
                <c:ptCount val="1"/>
                <c:pt idx="0">
                  <c:v>Cryptophyta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Summary!$C$5:$AC$5</c:f>
              <c:numCache>
                <c:formatCode>#,##0</c:formatCode>
                <c:ptCount val="27"/>
                <c:pt idx="0">
                  <c:v>53369.565217391304</c:v>
                </c:pt>
                <c:pt idx="1">
                  <c:v>0</c:v>
                </c:pt>
                <c:pt idx="2">
                  <c:v>0</c:v>
                </c:pt>
                <c:pt idx="3">
                  <c:v>26684.782608695652</c:v>
                </c:pt>
                <c:pt idx="4">
                  <c:v>8894.927536231884</c:v>
                </c:pt>
                <c:pt idx="5">
                  <c:v>1223.82851445663</c:v>
                </c:pt>
                <c:pt idx="6">
                  <c:v>1064.1987082231567</c:v>
                </c:pt>
                <c:pt idx="7">
                  <c:v>35579.710144927536</c:v>
                </c:pt>
                <c:pt idx="8">
                  <c:v>2368.7003505612197</c:v>
                </c:pt>
                <c:pt idx="9">
                  <c:v>71159.420289855072</c:v>
                </c:pt>
                <c:pt idx="10">
                  <c:v>8894.927536231884</c:v>
                </c:pt>
                <c:pt idx="11">
                  <c:v>8894.927536231884</c:v>
                </c:pt>
                <c:pt idx="12">
                  <c:v>26684.782608695652</c:v>
                </c:pt>
                <c:pt idx="13">
                  <c:v>35579.710144927536</c:v>
                </c:pt>
                <c:pt idx="14">
                  <c:v>0</c:v>
                </c:pt>
                <c:pt idx="15">
                  <c:v>48255.499202874467</c:v>
                </c:pt>
                <c:pt idx="16">
                  <c:v>204583.33333333334</c:v>
                </c:pt>
                <c:pt idx="17">
                  <c:v>80054.34782608696</c:v>
                </c:pt>
                <c:pt idx="18">
                  <c:v>133423.91304347824</c:v>
                </c:pt>
                <c:pt idx="19">
                  <c:v>169003.62318840579</c:v>
                </c:pt>
                <c:pt idx="20">
                  <c:v>382481.88405797101</c:v>
                </c:pt>
                <c:pt idx="21">
                  <c:v>329112.31884057971</c:v>
                </c:pt>
                <c:pt idx="22">
                  <c:v>311322.46376811597</c:v>
                </c:pt>
                <c:pt idx="23">
                  <c:v>97844.20289855072</c:v>
                </c:pt>
                <c:pt idx="24">
                  <c:v>204583.33333333334</c:v>
                </c:pt>
                <c:pt idx="25">
                  <c:v>106739.13043478262</c:v>
                </c:pt>
                <c:pt idx="26">
                  <c:v>186793.47826086957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F-6242-BBA4-D79BB4E8C52E}"/>
            </c:ext>
          </c:extLst>
        </c:ser>
        <c:ser>
          <c:idx val="2"/>
          <c:order val="2"/>
          <c:tx>
            <c:strRef>
              <c:f>Summary!$B$6</c:f>
              <c:strCache>
                <c:ptCount val="1"/>
                <c:pt idx="0">
                  <c:v>Dinoflagellata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Summary!$C$6:$AC$6</c:f>
              <c:numCache>
                <c:formatCode>#,##0</c:formatCode>
                <c:ptCount val="27"/>
                <c:pt idx="0">
                  <c:v>5000</c:v>
                </c:pt>
                <c:pt idx="1">
                  <c:v>22237.318840579708</c:v>
                </c:pt>
                <c:pt idx="2">
                  <c:v>255780.15952143568</c:v>
                </c:pt>
                <c:pt idx="3">
                  <c:v>48057.439998844049</c:v>
                </c:pt>
                <c:pt idx="4">
                  <c:v>299598.54133252415</c:v>
                </c:pt>
                <c:pt idx="5">
                  <c:v>1447097.4034418485</c:v>
                </c:pt>
                <c:pt idx="6">
                  <c:v>656551.4808232307</c:v>
                </c:pt>
                <c:pt idx="7">
                  <c:v>248932.04083401969</c:v>
                </c:pt>
                <c:pt idx="8">
                  <c:v>71061.010516836599</c:v>
                </c:pt>
                <c:pt idx="9">
                  <c:v>7832.5024925224343</c:v>
                </c:pt>
                <c:pt idx="10">
                  <c:v>4895.3140578265202</c:v>
                </c:pt>
                <c:pt idx="11">
                  <c:v>979.06281156530429</c:v>
                </c:pt>
                <c:pt idx="12">
                  <c:v>11342.584565145145</c:v>
                </c:pt>
                <c:pt idx="13">
                  <c:v>39251.195688297434</c:v>
                </c:pt>
                <c:pt idx="14">
                  <c:v>12391.580434679396</c:v>
                </c:pt>
                <c:pt idx="15">
                  <c:v>44773.204540966472</c:v>
                </c:pt>
                <c:pt idx="16">
                  <c:v>20727.04350715968</c:v>
                </c:pt>
                <c:pt idx="17">
                  <c:v>35251.582209892062</c:v>
                </c:pt>
                <c:pt idx="18">
                  <c:v>73607.077318768337</c:v>
                </c:pt>
                <c:pt idx="19">
                  <c:v>38516.898579623448</c:v>
                </c:pt>
                <c:pt idx="20">
                  <c:v>0</c:v>
                </c:pt>
                <c:pt idx="21">
                  <c:v>18768.917884029073</c:v>
                </c:pt>
                <c:pt idx="22">
                  <c:v>31580.096666522175</c:v>
                </c:pt>
                <c:pt idx="23">
                  <c:v>38027.367173840801</c:v>
                </c:pt>
                <c:pt idx="24">
                  <c:v>11342.584565145144</c:v>
                </c:pt>
                <c:pt idx="25">
                  <c:v>12616.413079601774</c:v>
                </c:pt>
                <c:pt idx="26">
                  <c:v>54593.393731847937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BF-6242-BBA4-D79BB4E8C52E}"/>
            </c:ext>
          </c:extLst>
        </c:ser>
        <c:ser>
          <c:idx val="3"/>
          <c:order val="3"/>
          <c:tx>
            <c:strRef>
              <c:f>Summary!$B$7</c:f>
              <c:strCache>
                <c:ptCount val="1"/>
                <c:pt idx="0">
                  <c:v>Haptophyta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Summary!$C$7:$AC$7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1223.82851445663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979.06281156530429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17789.855072463768</c:v>
                </c:pt>
                <c:pt idx="16">
                  <c:v>0</c:v>
                </c:pt>
                <c:pt idx="17">
                  <c:v>0</c:v>
                </c:pt>
                <c:pt idx="18">
                  <c:v>2447.6570289132601</c:v>
                </c:pt>
                <c:pt idx="19">
                  <c:v>0</c:v>
                </c:pt>
                <c:pt idx="20">
                  <c:v>53369.565217391304</c:v>
                </c:pt>
                <c:pt idx="21">
                  <c:v>0</c:v>
                </c:pt>
                <c:pt idx="22">
                  <c:v>8894.927536231884</c:v>
                </c:pt>
                <c:pt idx="23">
                  <c:v>26684.782608695652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BF-6242-BBA4-D79BB4E8C52E}"/>
            </c:ext>
          </c:extLst>
        </c:ser>
        <c:ser>
          <c:idx val="4"/>
          <c:order val="4"/>
          <c:tx>
            <c:strRef>
              <c:f>Summary!$B$8</c:f>
              <c:strCache>
                <c:ptCount val="1"/>
                <c:pt idx="0">
                  <c:v>Chrysophyceae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Summary!$C$8:$AC$8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8894.927536231884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BF-6242-BBA4-D79BB4E8C52E}"/>
            </c:ext>
          </c:extLst>
        </c:ser>
        <c:ser>
          <c:idx val="5"/>
          <c:order val="5"/>
          <c:tx>
            <c:strRef>
              <c:f>Summary!$B$9</c:f>
              <c:strCache>
                <c:ptCount val="1"/>
                <c:pt idx="0">
                  <c:v>Bacillariophyceae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Summary!$C$9:$AC$9</c:f>
              <c:numCache>
                <c:formatCode>#,##0</c:formatCode>
                <c:ptCount val="27"/>
                <c:pt idx="0">
                  <c:v>420138.46865201497</c:v>
                </c:pt>
                <c:pt idx="1">
                  <c:v>2420586.4742728332</c:v>
                </c:pt>
                <c:pt idx="2">
                  <c:v>2435808.1884780438</c:v>
                </c:pt>
                <c:pt idx="3">
                  <c:v>2772865.0013726931</c:v>
                </c:pt>
                <c:pt idx="4">
                  <c:v>3384967.7778259427</c:v>
                </c:pt>
                <c:pt idx="5">
                  <c:v>123606.67996011964</c:v>
                </c:pt>
                <c:pt idx="6">
                  <c:v>140524.22948545669</c:v>
                </c:pt>
                <c:pt idx="7">
                  <c:v>0</c:v>
                </c:pt>
                <c:pt idx="8">
                  <c:v>47682.904815241047</c:v>
                </c:pt>
                <c:pt idx="9">
                  <c:v>169899.32376782695</c:v>
                </c:pt>
                <c:pt idx="10">
                  <c:v>146986.0267025012</c:v>
                </c:pt>
                <c:pt idx="11">
                  <c:v>8911.5653040877387</c:v>
                </c:pt>
                <c:pt idx="12">
                  <c:v>8894.927536231884</c:v>
                </c:pt>
                <c:pt idx="13">
                  <c:v>90173.10387677548</c:v>
                </c:pt>
                <c:pt idx="14">
                  <c:v>13557.13140082857</c:v>
                </c:pt>
                <c:pt idx="15">
                  <c:v>6745.8373671256759</c:v>
                </c:pt>
                <c:pt idx="16">
                  <c:v>4016.2512462612176</c:v>
                </c:pt>
                <c:pt idx="17">
                  <c:v>6119.14257228315</c:v>
                </c:pt>
                <c:pt idx="18">
                  <c:v>0</c:v>
                </c:pt>
                <c:pt idx="19">
                  <c:v>2081.307709524488</c:v>
                </c:pt>
                <c:pt idx="20">
                  <c:v>2447.6570289132601</c:v>
                </c:pt>
                <c:pt idx="21">
                  <c:v>0</c:v>
                </c:pt>
                <c:pt idx="22">
                  <c:v>19521.626425072609</c:v>
                </c:pt>
                <c:pt idx="23">
                  <c:v>1223.82851445663</c:v>
                </c:pt>
                <c:pt idx="24">
                  <c:v>1523.82851445663</c:v>
                </c:pt>
                <c:pt idx="25">
                  <c:v>12438.2851445663</c:v>
                </c:pt>
                <c:pt idx="26">
                  <c:v>28854.311702573439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BF-6242-BBA4-D79BB4E8C52E}"/>
            </c:ext>
          </c:extLst>
        </c:ser>
        <c:ser>
          <c:idx val="6"/>
          <c:order val="6"/>
          <c:tx>
            <c:strRef>
              <c:f>Summary!$B$10</c:f>
              <c:strCache>
                <c:ptCount val="1"/>
                <c:pt idx="0">
                  <c:v>Euglenophyta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Summary!$C$10:$AC$10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8894.927536231884</c:v>
                </c:pt>
                <c:pt idx="3">
                  <c:v>1223.82851445663</c:v>
                </c:pt>
                <c:pt idx="4">
                  <c:v>8894.927536231884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8894.927536231884</c:v>
                </c:pt>
                <c:pt idx="13">
                  <c:v>2447.6570289132601</c:v>
                </c:pt>
                <c:pt idx="14">
                  <c:v>0</c:v>
                </c:pt>
                <c:pt idx="15">
                  <c:v>5929.9516908212554</c:v>
                </c:pt>
                <c:pt idx="16">
                  <c:v>17789.855072463768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19013.683586920397</c:v>
                </c:pt>
                <c:pt idx="24">
                  <c:v>8894.927536231884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BF-6242-BBA4-D79BB4E8C52E}"/>
            </c:ext>
          </c:extLst>
        </c:ser>
        <c:ser>
          <c:idx val="7"/>
          <c:order val="7"/>
          <c:tx>
            <c:strRef>
              <c:f>Summary!$B$11</c:f>
              <c:strCache>
                <c:ptCount val="1"/>
                <c:pt idx="0">
                  <c:v>Chlorophyta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Summary!$C$11:$AC$11</c:f>
              <c:numCache>
                <c:formatCode>#,##0</c:formatCode>
                <c:ptCount val="27"/>
                <c:pt idx="0">
                  <c:v>0</c:v>
                </c:pt>
                <c:pt idx="1">
                  <c:v>88949.275362318833</c:v>
                </c:pt>
                <c:pt idx="2">
                  <c:v>26684.782608695652</c:v>
                </c:pt>
                <c:pt idx="3">
                  <c:v>0</c:v>
                </c:pt>
                <c:pt idx="4">
                  <c:v>8894.927536231884</c:v>
                </c:pt>
                <c:pt idx="5">
                  <c:v>0</c:v>
                </c:pt>
                <c:pt idx="6">
                  <c:v>7449.3909575620974</c:v>
                </c:pt>
                <c:pt idx="7">
                  <c:v>0</c:v>
                </c:pt>
                <c:pt idx="8">
                  <c:v>35579.710144927536</c:v>
                </c:pt>
                <c:pt idx="9">
                  <c:v>44474.637681159424</c:v>
                </c:pt>
                <c:pt idx="10">
                  <c:v>0</c:v>
                </c:pt>
                <c:pt idx="11">
                  <c:v>26684.782608695652</c:v>
                </c:pt>
                <c:pt idx="12">
                  <c:v>8894.927536231884</c:v>
                </c:pt>
                <c:pt idx="13">
                  <c:v>106739.13043478262</c:v>
                </c:pt>
                <c:pt idx="14">
                  <c:v>62264.492753623184</c:v>
                </c:pt>
                <c:pt idx="15">
                  <c:v>65979.468599033804</c:v>
                </c:pt>
                <c:pt idx="16">
                  <c:v>80054.347826086945</c:v>
                </c:pt>
                <c:pt idx="17">
                  <c:v>8894.927536231884</c:v>
                </c:pt>
                <c:pt idx="18">
                  <c:v>20805.08474576271</c:v>
                </c:pt>
                <c:pt idx="19">
                  <c:v>62264.492753623184</c:v>
                </c:pt>
                <c:pt idx="20">
                  <c:v>151213.76811594202</c:v>
                </c:pt>
                <c:pt idx="21">
                  <c:v>204583.33333333334</c:v>
                </c:pt>
                <c:pt idx="22">
                  <c:v>35579.710144927536</c:v>
                </c:pt>
                <c:pt idx="23">
                  <c:v>80054.34782608696</c:v>
                </c:pt>
                <c:pt idx="24">
                  <c:v>222373.18840579712</c:v>
                </c:pt>
                <c:pt idx="25">
                  <c:v>62264.492753623184</c:v>
                </c:pt>
                <c:pt idx="26">
                  <c:v>177898.55072463769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BF-6242-BBA4-D79BB4E8C52E}"/>
            </c:ext>
          </c:extLst>
        </c:ser>
        <c:ser>
          <c:idx val="8"/>
          <c:order val="8"/>
          <c:tx>
            <c:strRef>
              <c:f>Summary!$B$12</c:f>
              <c:strCache>
                <c:ptCount val="1"/>
                <c:pt idx="0">
                  <c:v>CILIOPHORA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Summary!$C$12:$AC$12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25700.398803589233</c:v>
                </c:pt>
                <c:pt idx="3">
                  <c:v>6119.14257228315</c:v>
                </c:pt>
                <c:pt idx="4">
                  <c:v>30028.140217030068</c:v>
                </c:pt>
                <c:pt idx="5">
                  <c:v>49369.951738985939</c:v>
                </c:pt>
                <c:pt idx="6">
                  <c:v>112250.79291112168</c:v>
                </c:pt>
                <c:pt idx="7">
                  <c:v>28559.545999682116</c:v>
                </c:pt>
                <c:pt idx="8">
                  <c:v>6032.6239324919115</c:v>
                </c:pt>
                <c:pt idx="9">
                  <c:v>18602.193419740779</c:v>
                </c:pt>
                <c:pt idx="10">
                  <c:v>24804.698224168074</c:v>
                </c:pt>
                <c:pt idx="11">
                  <c:v>6853.4396809571299</c:v>
                </c:pt>
                <c:pt idx="12">
                  <c:v>20805.084745762713</c:v>
                </c:pt>
                <c:pt idx="13">
                  <c:v>54832.838441198139</c:v>
                </c:pt>
                <c:pt idx="14">
                  <c:v>9324.4077291933718</c:v>
                </c:pt>
                <c:pt idx="15">
                  <c:v>31819.541375872388</c:v>
                </c:pt>
                <c:pt idx="16">
                  <c:v>8811.5653040877387</c:v>
                </c:pt>
                <c:pt idx="17">
                  <c:v>30028.140217030068</c:v>
                </c:pt>
                <c:pt idx="18">
                  <c:v>3671.4855433698904</c:v>
                </c:pt>
                <c:pt idx="19">
                  <c:v>1958.1256231306086</c:v>
                </c:pt>
                <c:pt idx="20">
                  <c:v>1223.82851445663</c:v>
                </c:pt>
                <c:pt idx="21">
                  <c:v>17789.855072463768</c:v>
                </c:pt>
                <c:pt idx="22">
                  <c:v>17053.784299276085</c:v>
                </c:pt>
                <c:pt idx="23">
                  <c:v>14685.942173479561</c:v>
                </c:pt>
                <c:pt idx="24">
                  <c:v>11014.456630109671</c:v>
                </c:pt>
                <c:pt idx="25">
                  <c:v>17789.855072463768</c:v>
                </c:pt>
                <c:pt idx="26">
                  <c:v>12566.413079601774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BF-6242-BBA4-D79BB4E8C52E}"/>
            </c:ext>
          </c:extLst>
        </c:ser>
        <c:ser>
          <c:idx val="9"/>
          <c:order val="9"/>
          <c:tx>
            <c:strRef>
              <c:f>Summary!$B$13</c:f>
              <c:strCache>
                <c:ptCount val="1"/>
                <c:pt idx="0">
                  <c:v>PROTOZOA INCERTAE SEDIS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Summary!$C$13:$AC$13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8894.927536231884</c:v>
                </c:pt>
                <c:pt idx="4">
                  <c:v>0</c:v>
                </c:pt>
                <c:pt idx="5">
                  <c:v>0</c:v>
                </c:pt>
                <c:pt idx="6">
                  <c:v>14824.879227053138</c:v>
                </c:pt>
                <c:pt idx="7">
                  <c:v>8894.927536231884</c:v>
                </c:pt>
                <c:pt idx="8">
                  <c:v>0</c:v>
                </c:pt>
                <c:pt idx="9">
                  <c:v>1958.1256231306086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1165.5509661491715</c:v>
                </c:pt>
                <c:pt idx="15">
                  <c:v>0</c:v>
                </c:pt>
                <c:pt idx="16">
                  <c:v>2937.1884346959127</c:v>
                </c:pt>
                <c:pt idx="17">
                  <c:v>3671.4855433698904</c:v>
                </c:pt>
                <c:pt idx="18">
                  <c:v>53369.565217391304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3671.4855433698904</c:v>
                </c:pt>
                <c:pt idx="24">
                  <c:v>3671.4855433698904</c:v>
                </c:pt>
                <c:pt idx="25">
                  <c:v>1223.82851445663</c:v>
                </c:pt>
                <c:pt idx="26">
                  <c:v>1223.82851445663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BF-6242-BBA4-D79BB4E8C52E}"/>
            </c:ext>
          </c:extLst>
        </c:ser>
        <c:ser>
          <c:idx val="10"/>
          <c:order val="10"/>
          <c:tx>
            <c:strRef>
              <c:f>Summary!$B$14</c:f>
              <c:strCache>
                <c:ptCount val="1"/>
                <c:pt idx="0">
                  <c:v>Flagellates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Summary!$C$14:$AC$14</c:f>
              <c:numCache>
                <c:formatCode>#,##0</c:formatCode>
                <c:ptCount val="27"/>
                <c:pt idx="0">
                  <c:v>25700.398803589233</c:v>
                </c:pt>
                <c:pt idx="1">
                  <c:v>311322.46376811591</c:v>
                </c:pt>
                <c:pt idx="2">
                  <c:v>7342.9710867397807</c:v>
                </c:pt>
                <c:pt idx="3">
                  <c:v>0</c:v>
                </c:pt>
                <c:pt idx="4">
                  <c:v>0</c:v>
                </c:pt>
                <c:pt idx="5">
                  <c:v>31819.541375872381</c:v>
                </c:pt>
                <c:pt idx="6">
                  <c:v>28733.365122025232</c:v>
                </c:pt>
                <c:pt idx="7">
                  <c:v>44474.637681159424</c:v>
                </c:pt>
                <c:pt idx="8">
                  <c:v>35579.710144927536</c:v>
                </c:pt>
                <c:pt idx="9">
                  <c:v>942862.31884057971</c:v>
                </c:pt>
                <c:pt idx="10">
                  <c:v>871702.89855072461</c:v>
                </c:pt>
                <c:pt idx="11">
                  <c:v>1725615.9420289854</c:v>
                </c:pt>
                <c:pt idx="12">
                  <c:v>747173.91304347827</c:v>
                </c:pt>
                <c:pt idx="13">
                  <c:v>480326.08695652173</c:v>
                </c:pt>
                <c:pt idx="14">
                  <c:v>515905.79710144928</c:v>
                </c:pt>
                <c:pt idx="15">
                  <c:v>628574.87922705314</c:v>
                </c:pt>
                <c:pt idx="16">
                  <c:v>800543.47826086963</c:v>
                </c:pt>
                <c:pt idx="17">
                  <c:v>1458768.1159420288</c:v>
                </c:pt>
                <c:pt idx="18">
                  <c:v>800543.47826086963</c:v>
                </c:pt>
                <c:pt idx="19">
                  <c:v>105738.78364905287</c:v>
                </c:pt>
                <c:pt idx="20">
                  <c:v>507010.86956521741</c:v>
                </c:pt>
                <c:pt idx="21">
                  <c:v>213478.26086956522</c:v>
                </c:pt>
                <c:pt idx="22">
                  <c:v>364692.0289855072</c:v>
                </c:pt>
                <c:pt idx="23">
                  <c:v>649329.71014492749</c:v>
                </c:pt>
                <c:pt idx="24">
                  <c:v>613750</c:v>
                </c:pt>
                <c:pt idx="25">
                  <c:v>275742.75362318842</c:v>
                </c:pt>
                <c:pt idx="26">
                  <c:v>418061.59420289856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BF-6242-BBA4-D79BB4E8C52E}"/>
            </c:ext>
          </c:extLst>
        </c:ser>
        <c:ser>
          <c:idx val="11"/>
          <c:order val="11"/>
          <c:tx>
            <c:strRef>
              <c:f>Summary!$B$15</c:f>
              <c:strCache>
                <c:ptCount val="1"/>
                <c:pt idx="0">
                  <c:v>Inceartae sedis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Summary!$C$3:$AC$3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Summary!$C$15:$AC$15</c:f>
              <c:numCache>
                <c:formatCode>#,##0</c:formatCode>
                <c:ptCount val="27"/>
                <c:pt idx="0">
                  <c:v>12238.2851445663</c:v>
                </c:pt>
                <c:pt idx="1">
                  <c:v>389153.0797101449</c:v>
                </c:pt>
                <c:pt idx="2">
                  <c:v>367139.68601442053</c:v>
                </c:pt>
                <c:pt idx="3">
                  <c:v>284637.68115942029</c:v>
                </c:pt>
                <c:pt idx="4">
                  <c:v>133423.91304347827</c:v>
                </c:pt>
                <c:pt idx="5">
                  <c:v>1223.82851445663</c:v>
                </c:pt>
                <c:pt idx="6">
                  <c:v>4256.7948328926268</c:v>
                </c:pt>
                <c:pt idx="7">
                  <c:v>0</c:v>
                </c:pt>
                <c:pt idx="8">
                  <c:v>17789.855072463768</c:v>
                </c:pt>
                <c:pt idx="9">
                  <c:v>17789.855072463768</c:v>
                </c:pt>
                <c:pt idx="10">
                  <c:v>0</c:v>
                </c:pt>
                <c:pt idx="11">
                  <c:v>26684.782608695652</c:v>
                </c:pt>
                <c:pt idx="12">
                  <c:v>0</c:v>
                </c:pt>
                <c:pt idx="13">
                  <c:v>17789.855072463768</c:v>
                </c:pt>
                <c:pt idx="14">
                  <c:v>53369.565217391311</c:v>
                </c:pt>
                <c:pt idx="15">
                  <c:v>17789.855072463768</c:v>
                </c:pt>
                <c:pt idx="16">
                  <c:v>0</c:v>
                </c:pt>
                <c:pt idx="17">
                  <c:v>0</c:v>
                </c:pt>
                <c:pt idx="18">
                  <c:v>177898.55072463769</c:v>
                </c:pt>
                <c:pt idx="19">
                  <c:v>90907.400985449451</c:v>
                </c:pt>
                <c:pt idx="20">
                  <c:v>0</c:v>
                </c:pt>
                <c:pt idx="21">
                  <c:v>35579.710144927536</c:v>
                </c:pt>
                <c:pt idx="22">
                  <c:v>8894.927536231884</c:v>
                </c:pt>
                <c:pt idx="23">
                  <c:v>17789.855072463768</c:v>
                </c:pt>
                <c:pt idx="24">
                  <c:v>0</c:v>
                </c:pt>
                <c:pt idx="25">
                  <c:v>8894.927536231884</c:v>
                </c:pt>
                <c:pt idx="26">
                  <c:v>17789.855072463768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BF-6242-BBA4-D79BB4E8C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4442975"/>
        <c:axId val="1214440095"/>
      </c:barChart>
      <c:catAx>
        <c:axId val="121444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0095"/>
        <c:crosses val="autoZero"/>
        <c:auto val="1"/>
        <c:lblAlgn val="ctr"/>
        <c:lblOffset val="100"/>
        <c:noMultiLvlLbl val="0"/>
      </c:catAx>
      <c:valAx>
        <c:axId val="12144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Biovolume [ug/L]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Summary!$B$21</c:f>
              <c:strCache>
                <c:ptCount val="1"/>
                <c:pt idx="0">
                  <c:v>Cyanobacteria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Summary!$C$21:$AC$21</c:f>
              <c:numCache>
                <c:formatCode>#,##0.00</c:formatCode>
                <c:ptCount val="27"/>
                <c:pt idx="0">
                  <c:v>1.4139599184782607</c:v>
                </c:pt>
                <c:pt idx="1">
                  <c:v>5.5560142046121586</c:v>
                </c:pt>
                <c:pt idx="2">
                  <c:v>3.1421331521739129</c:v>
                </c:pt>
                <c:pt idx="3">
                  <c:v>0</c:v>
                </c:pt>
                <c:pt idx="4">
                  <c:v>0</c:v>
                </c:pt>
                <c:pt idx="5">
                  <c:v>2.374625</c:v>
                </c:pt>
                <c:pt idx="6">
                  <c:v>0.22931619814469636</c:v>
                </c:pt>
                <c:pt idx="7">
                  <c:v>0</c:v>
                </c:pt>
                <c:pt idx="8">
                  <c:v>18.620048309178742</c:v>
                </c:pt>
                <c:pt idx="9">
                  <c:v>63.677443505029899</c:v>
                </c:pt>
                <c:pt idx="10">
                  <c:v>27.966971730072466</c:v>
                </c:pt>
                <c:pt idx="11">
                  <c:v>36.391668455021417</c:v>
                </c:pt>
                <c:pt idx="12">
                  <c:v>46.338284075536066</c:v>
                </c:pt>
                <c:pt idx="13">
                  <c:v>82.892857068363142</c:v>
                </c:pt>
                <c:pt idx="14">
                  <c:v>129.84526659066967</c:v>
                </c:pt>
                <c:pt idx="15" formatCode="0.00">
                  <c:v>51.519236326357081</c:v>
                </c:pt>
                <c:pt idx="16" formatCode="0.00">
                  <c:v>190.29795686942799</c:v>
                </c:pt>
                <c:pt idx="17" formatCode="0.00">
                  <c:v>769.09406251708492</c:v>
                </c:pt>
                <c:pt idx="18" formatCode="0.00">
                  <c:v>372.90491591142182</c:v>
                </c:pt>
                <c:pt idx="19" formatCode="0.00">
                  <c:v>458.06335481313073</c:v>
                </c:pt>
                <c:pt idx="20" formatCode="0.00">
                  <c:v>513.41086445521569</c:v>
                </c:pt>
                <c:pt idx="21" formatCode="0.00">
                  <c:v>282.06463805857487</c:v>
                </c:pt>
                <c:pt idx="22" formatCode="0.00">
                  <c:v>54.958845480466813</c:v>
                </c:pt>
                <c:pt idx="23" formatCode="0.00">
                  <c:v>52.240544057971015</c:v>
                </c:pt>
                <c:pt idx="24" formatCode="0.00">
                  <c:v>171.34696842067393</c:v>
                </c:pt>
                <c:pt idx="25" formatCode="0.00">
                  <c:v>284.29888341437044</c:v>
                </c:pt>
                <c:pt idx="26" formatCode="0.00">
                  <c:v>54.993868488315243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2-D342-936F-E376A4C1336B}"/>
            </c:ext>
          </c:extLst>
        </c:ser>
        <c:ser>
          <c:idx val="1"/>
          <c:order val="1"/>
          <c:tx>
            <c:strRef>
              <c:f>Summary!$B$22</c:f>
              <c:strCache>
                <c:ptCount val="1"/>
                <c:pt idx="0">
                  <c:v>Cryptophyta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Summary!$C$22:$AC$22</c:f>
              <c:numCache>
                <c:formatCode>#,##0.00</c:formatCode>
                <c:ptCount val="27"/>
                <c:pt idx="0">
                  <c:v>6.3575827445652173</c:v>
                </c:pt>
                <c:pt idx="1">
                  <c:v>0</c:v>
                </c:pt>
                <c:pt idx="2">
                  <c:v>0</c:v>
                </c:pt>
                <c:pt idx="3">
                  <c:v>5.9875092844202893</c:v>
                </c:pt>
                <c:pt idx="4">
                  <c:v>1.9958364281400964</c:v>
                </c:pt>
                <c:pt idx="5">
                  <c:v>0.27460162221668322</c:v>
                </c:pt>
                <c:pt idx="6">
                  <c:v>0.23878401931885501</c:v>
                </c:pt>
                <c:pt idx="7">
                  <c:v>2.4102779721467393</c:v>
                </c:pt>
                <c:pt idx="8">
                  <c:v>0.16270010532917378</c:v>
                </c:pt>
                <c:pt idx="9">
                  <c:v>4.6525391021286238</c:v>
                </c:pt>
                <c:pt idx="10">
                  <c:v>0.61097033514492749</c:v>
                </c:pt>
                <c:pt idx="11">
                  <c:v>0.61097033514492749</c:v>
                </c:pt>
                <c:pt idx="12">
                  <c:v>1.8329110054347828</c:v>
                </c:pt>
                <c:pt idx="13">
                  <c:v>2.44388134057971</c:v>
                </c:pt>
                <c:pt idx="14">
                  <c:v>0</c:v>
                </c:pt>
                <c:pt idx="15" formatCode="0.00">
                  <c:v>8.7080526392563939</c:v>
                </c:pt>
                <c:pt idx="16" formatCode="0.00">
                  <c:v>13.346646971240943</c:v>
                </c:pt>
                <c:pt idx="17" formatCode="0.00">
                  <c:v>5.2971128057065222</c:v>
                </c:pt>
                <c:pt idx="18" formatCode="0.00">
                  <c:v>19.268258740942027</c:v>
                </c:pt>
                <c:pt idx="19" formatCode="0.00">
                  <c:v>11.406816157155797</c:v>
                </c:pt>
                <c:pt idx="20" formatCode="0.00">
                  <c:v>33.162451507774762</c:v>
                </c:pt>
                <c:pt idx="21" formatCode="0.00">
                  <c:v>28.111763403910022</c:v>
                </c:pt>
                <c:pt idx="22" formatCode="0.00">
                  <c:v>33.847756567028981</c:v>
                </c:pt>
                <c:pt idx="23" formatCode="0.00">
                  <c:v>15.029870244565217</c:v>
                </c:pt>
                <c:pt idx="24" formatCode="0.00">
                  <c:v>27.900978638285022</c:v>
                </c:pt>
                <c:pt idx="25" formatCode="0.00">
                  <c:v>10.067772839296497</c:v>
                </c:pt>
                <c:pt idx="26" formatCode="0.00">
                  <c:v>16.917768580163042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2-D342-936F-E376A4C1336B}"/>
            </c:ext>
          </c:extLst>
        </c:ser>
        <c:ser>
          <c:idx val="2"/>
          <c:order val="2"/>
          <c:tx>
            <c:strRef>
              <c:f>Summary!$B$23</c:f>
              <c:strCache>
                <c:ptCount val="1"/>
                <c:pt idx="0">
                  <c:v>Dinoflagellata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Summary!$C$23:$AC$23</c:f>
              <c:numCache>
                <c:formatCode>#,##0.00</c:formatCode>
                <c:ptCount val="27"/>
                <c:pt idx="0">
                  <c:v>39.332817500000004</c:v>
                </c:pt>
                <c:pt idx="1">
                  <c:v>7.4621116453898697</c:v>
                </c:pt>
                <c:pt idx="2">
                  <c:v>1703.0859859255568</c:v>
                </c:pt>
                <c:pt idx="3">
                  <c:v>257.18688512148299</c:v>
                </c:pt>
                <c:pt idx="4">
                  <c:v>1973.4844510308023</c:v>
                </c:pt>
                <c:pt idx="5">
                  <c:v>8613.8744096148948</c:v>
                </c:pt>
                <c:pt idx="6">
                  <c:v>4958.1749124822527</c:v>
                </c:pt>
                <c:pt idx="7">
                  <c:v>1666.7306860339102</c:v>
                </c:pt>
                <c:pt idx="8">
                  <c:v>531.11296061727455</c:v>
                </c:pt>
                <c:pt idx="9">
                  <c:v>34.556495800598206</c:v>
                </c:pt>
                <c:pt idx="10">
                  <c:v>97.271420114656024</c:v>
                </c:pt>
                <c:pt idx="11">
                  <c:v>23.056929212362913</c:v>
                </c:pt>
                <c:pt idx="12">
                  <c:v>39.105434012102798</c:v>
                </c:pt>
                <c:pt idx="13">
                  <c:v>80.98517181320527</c:v>
                </c:pt>
                <c:pt idx="14">
                  <c:v>39.215286328976816</c:v>
                </c:pt>
                <c:pt idx="15" formatCode="0.00">
                  <c:v>82.695129788169723</c:v>
                </c:pt>
                <c:pt idx="16" formatCode="0.00">
                  <c:v>75.140476953400636</c:v>
                </c:pt>
                <c:pt idx="17" formatCode="0.00">
                  <c:v>256.23352838689573</c:v>
                </c:pt>
                <c:pt idx="18" formatCode="0.00">
                  <c:v>72.462172222766412</c:v>
                </c:pt>
                <c:pt idx="19" formatCode="0.00">
                  <c:v>111.295529430231</c:v>
                </c:pt>
                <c:pt idx="20" formatCode="0.00">
                  <c:v>0</c:v>
                </c:pt>
                <c:pt idx="21" formatCode="0.00">
                  <c:v>25.403055299319433</c:v>
                </c:pt>
                <c:pt idx="22" formatCode="0.00">
                  <c:v>81.519316540853538</c:v>
                </c:pt>
                <c:pt idx="23" formatCode="0.00">
                  <c:v>52.930867907655028</c:v>
                </c:pt>
                <c:pt idx="24" formatCode="0.00">
                  <c:v>58.815386074385522</c:v>
                </c:pt>
                <c:pt idx="25" formatCode="0.00">
                  <c:v>96.767703922309309</c:v>
                </c:pt>
                <c:pt idx="26" formatCode="0.00">
                  <c:v>7.5210180720776076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F2-D342-936F-E376A4C1336B}"/>
            </c:ext>
          </c:extLst>
        </c:ser>
        <c:ser>
          <c:idx val="3"/>
          <c:order val="3"/>
          <c:tx>
            <c:strRef>
              <c:f>Summary!$B$24</c:f>
              <c:strCache>
                <c:ptCount val="1"/>
                <c:pt idx="0">
                  <c:v>Haptophyta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Summary!$C$24:$AC$24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4.3231742273180461E-2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3.4585393818544377E-2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0">
                  <c:v>1.1637530193236714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8.6463484546360922E-2</c:v>
                </c:pt>
                <c:pt idx="19" formatCode="0.00">
                  <c:v>0</c:v>
                </c:pt>
                <c:pt idx="20" formatCode="0.00">
                  <c:v>1.8852798913043478</c:v>
                </c:pt>
                <c:pt idx="21" formatCode="0.00">
                  <c:v>0</c:v>
                </c:pt>
                <c:pt idx="22" formatCode="0.00">
                  <c:v>0.31421331521739138</c:v>
                </c:pt>
                <c:pt idx="23" formatCode="0.00">
                  <c:v>0.94263994565217391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F2-D342-936F-E376A4C1336B}"/>
            </c:ext>
          </c:extLst>
        </c:ser>
        <c:ser>
          <c:idx val="4"/>
          <c:order val="4"/>
          <c:tx>
            <c:strRef>
              <c:f>Summary!$B$25</c:f>
              <c:strCache>
                <c:ptCount val="1"/>
                <c:pt idx="0">
                  <c:v>Chrysophyceae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Summary!$C$25:$AC$25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0.58187650966183557</c:v>
                </c:pt>
                <c:pt idx="13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F2-D342-936F-E376A4C1336B}"/>
            </c:ext>
          </c:extLst>
        </c:ser>
        <c:ser>
          <c:idx val="5"/>
          <c:order val="5"/>
          <c:tx>
            <c:strRef>
              <c:f>Summary!$B$26</c:f>
              <c:strCache>
                <c:ptCount val="1"/>
                <c:pt idx="0">
                  <c:v>Bacillariophyceae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Summary!$C$26:$AC$26</c:f>
              <c:numCache>
                <c:formatCode>#,##0.00</c:formatCode>
                <c:ptCount val="27"/>
                <c:pt idx="0">
                  <c:v>188.28510656498557</c:v>
                </c:pt>
                <c:pt idx="1">
                  <c:v>608.25942914252312</c:v>
                </c:pt>
                <c:pt idx="2">
                  <c:v>842.73774186821333</c:v>
                </c:pt>
                <c:pt idx="3">
                  <c:v>915.6472862227854</c:v>
                </c:pt>
                <c:pt idx="4">
                  <c:v>1175.8341278094485</c:v>
                </c:pt>
                <c:pt idx="5">
                  <c:v>34.050935056081755</c:v>
                </c:pt>
                <c:pt idx="6">
                  <c:v>619.021008751463</c:v>
                </c:pt>
                <c:pt idx="7">
                  <c:v>0</c:v>
                </c:pt>
                <c:pt idx="8">
                  <c:v>40.659342346968742</c:v>
                </c:pt>
                <c:pt idx="9">
                  <c:v>93.142103439026215</c:v>
                </c:pt>
                <c:pt idx="10">
                  <c:v>43.180126863720425</c:v>
                </c:pt>
                <c:pt idx="11">
                  <c:v>155.12726222083757</c:v>
                </c:pt>
                <c:pt idx="12">
                  <c:v>5.6927536231884064</c:v>
                </c:pt>
                <c:pt idx="13">
                  <c:v>67.105437950342818</c:v>
                </c:pt>
                <c:pt idx="14">
                  <c:v>8.3031639108409117</c:v>
                </c:pt>
                <c:pt idx="15" formatCode="0.00">
                  <c:v>6.1700467438264912</c:v>
                </c:pt>
                <c:pt idx="16" formatCode="0.00">
                  <c:v>6.8261615154536415</c:v>
                </c:pt>
                <c:pt idx="17" formatCode="0.00">
                  <c:v>5.5053093519441667</c:v>
                </c:pt>
                <c:pt idx="18" formatCode="0.00">
                  <c:v>0</c:v>
                </c:pt>
                <c:pt idx="19" formatCode="0.00">
                  <c:v>32.302194365881945</c:v>
                </c:pt>
                <c:pt idx="20" formatCode="0.00">
                  <c:v>25.999624875373879</c:v>
                </c:pt>
                <c:pt idx="21" formatCode="0.00">
                  <c:v>0</c:v>
                </c:pt>
                <c:pt idx="22" formatCode="0.00">
                  <c:v>12.682426202145376</c:v>
                </c:pt>
                <c:pt idx="23" formatCode="0.00">
                  <c:v>3.8428215353938184</c:v>
                </c:pt>
                <c:pt idx="24" formatCode="0.00">
                  <c:v>8.4721626230682947</c:v>
                </c:pt>
                <c:pt idx="25" formatCode="0.00">
                  <c:v>39.830629006729808</c:v>
                </c:pt>
                <c:pt idx="26" formatCode="0.00">
                  <c:v>18.76566248739741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F2-D342-936F-E376A4C1336B}"/>
            </c:ext>
          </c:extLst>
        </c:ser>
        <c:ser>
          <c:idx val="6"/>
          <c:order val="6"/>
          <c:tx>
            <c:strRef>
              <c:f>Summary!$B$27</c:f>
              <c:strCache>
                <c:ptCount val="1"/>
                <c:pt idx="0">
                  <c:v>Euglenophyta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Summary!$C$27:$AC$27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6.7032173913043476</c:v>
                </c:pt>
                <c:pt idx="3">
                  <c:v>0.64047025589896966</c:v>
                </c:pt>
                <c:pt idx="4">
                  <c:v>6.7032173913043476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6.7032173913043476</c:v>
                </c:pt>
                <c:pt idx="13">
                  <c:v>1.2809405117979393</c:v>
                </c:pt>
                <c:pt idx="14">
                  <c:v>0</c:v>
                </c:pt>
                <c:pt idx="15" formatCode="0.00">
                  <c:v>4.4688115942028981</c:v>
                </c:pt>
                <c:pt idx="16" formatCode="0.00">
                  <c:v>13.406434782608695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10.232301323083888</c:v>
                </c:pt>
                <c:pt idx="24" formatCode="0.00">
                  <c:v>6.7032173913043476</c:v>
                </c:pt>
                <c:pt idx="25" formatCode="0.00">
                  <c:v>0</c:v>
                </c:pt>
                <c:pt idx="2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F2-D342-936F-E376A4C1336B}"/>
            </c:ext>
          </c:extLst>
        </c:ser>
        <c:ser>
          <c:idx val="7"/>
          <c:order val="7"/>
          <c:tx>
            <c:strRef>
              <c:f>Summary!$B$28</c:f>
              <c:strCache>
                <c:ptCount val="1"/>
                <c:pt idx="0">
                  <c:v>Chlorophyta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Summary!$C$28:$AC$28</c:f>
              <c:numCache>
                <c:formatCode>#,##0.00</c:formatCode>
                <c:ptCount val="27"/>
                <c:pt idx="0">
                  <c:v>0</c:v>
                </c:pt>
                <c:pt idx="1">
                  <c:v>1.6758043478260864</c:v>
                </c:pt>
                <c:pt idx="2">
                  <c:v>2.3023630434782612</c:v>
                </c:pt>
                <c:pt idx="3">
                  <c:v>0</c:v>
                </c:pt>
                <c:pt idx="4">
                  <c:v>0.3636728185386473</c:v>
                </c:pt>
                <c:pt idx="5">
                  <c:v>0</c:v>
                </c:pt>
                <c:pt idx="6">
                  <c:v>0.87664693295566209</c:v>
                </c:pt>
                <c:pt idx="7">
                  <c:v>0</c:v>
                </c:pt>
                <c:pt idx="8">
                  <c:v>1.2178005911269625</c:v>
                </c:pt>
                <c:pt idx="9">
                  <c:v>3.4108377943840584</c:v>
                </c:pt>
                <c:pt idx="10">
                  <c:v>0</c:v>
                </c:pt>
                <c:pt idx="11">
                  <c:v>2.3023630434782612</c:v>
                </c:pt>
                <c:pt idx="12">
                  <c:v>1.0673913043478263</c:v>
                </c:pt>
                <c:pt idx="13">
                  <c:v>9.978585439311594</c:v>
                </c:pt>
                <c:pt idx="14">
                  <c:v>13.23837995169082</c:v>
                </c:pt>
                <c:pt idx="15" formatCode="0.00">
                  <c:v>9.4609480978260869</c:v>
                </c:pt>
                <c:pt idx="16" formatCode="0.00">
                  <c:v>7.8068999999999997</c:v>
                </c:pt>
                <c:pt idx="17" formatCode="0.00">
                  <c:v>1.0673913043478263</c:v>
                </c:pt>
                <c:pt idx="18" formatCode="0.00">
                  <c:v>2.0014001994017945</c:v>
                </c:pt>
                <c:pt idx="19" formatCode="0.00">
                  <c:v>4.7723065217391314</c:v>
                </c:pt>
                <c:pt idx="20" formatCode="0.00">
                  <c:v>23.144201177536232</c:v>
                </c:pt>
                <c:pt idx="21" formatCode="0.00">
                  <c:v>38.328895048309178</c:v>
                </c:pt>
                <c:pt idx="22" formatCode="0.00">
                  <c:v>3.3697543478260865</c:v>
                </c:pt>
                <c:pt idx="23" formatCode="0.00">
                  <c:v>5.9561917270531408</c:v>
                </c:pt>
                <c:pt idx="24" formatCode="0.00">
                  <c:v>35.957803864734302</c:v>
                </c:pt>
                <c:pt idx="25" formatCode="0.00">
                  <c:v>8.8059782608695656</c:v>
                </c:pt>
                <c:pt idx="26" formatCode="0.00">
                  <c:v>16.817817391304349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F2-D342-936F-E376A4C1336B}"/>
            </c:ext>
          </c:extLst>
        </c:ser>
        <c:ser>
          <c:idx val="8"/>
          <c:order val="8"/>
          <c:tx>
            <c:strRef>
              <c:f>Summary!$B$29</c:f>
              <c:strCache>
                <c:ptCount val="1"/>
                <c:pt idx="0">
                  <c:v>CILIOPHORA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Summary!$C$29:$AC$29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404.70965213084702</c:v>
                </c:pt>
                <c:pt idx="3">
                  <c:v>13.509919460368891</c:v>
                </c:pt>
                <c:pt idx="4">
                  <c:v>188.2498138698337</c:v>
                </c:pt>
                <c:pt idx="5">
                  <c:v>460.17282080177603</c:v>
                </c:pt>
                <c:pt idx="6">
                  <c:v>1027.8716834152067</c:v>
                </c:pt>
                <c:pt idx="7">
                  <c:v>218.04295716460601</c:v>
                </c:pt>
                <c:pt idx="8">
                  <c:v>18.48915031752632</c:v>
                </c:pt>
                <c:pt idx="9">
                  <c:v>83.529330186523779</c:v>
                </c:pt>
                <c:pt idx="10">
                  <c:v>89.902422579690722</c:v>
                </c:pt>
                <c:pt idx="11">
                  <c:v>78.053309498587595</c:v>
                </c:pt>
                <c:pt idx="12">
                  <c:v>267.13113712248668</c:v>
                </c:pt>
                <c:pt idx="13">
                  <c:v>121.65861953668544</c:v>
                </c:pt>
                <c:pt idx="14">
                  <c:v>23.612575282584782</c:v>
                </c:pt>
                <c:pt idx="15" formatCode="0.00">
                  <c:v>492.67507278511687</c:v>
                </c:pt>
                <c:pt idx="16" formatCode="0.00">
                  <c:v>241.00895729478236</c:v>
                </c:pt>
                <c:pt idx="17" formatCode="0.00">
                  <c:v>283.29583189968139</c:v>
                </c:pt>
                <c:pt idx="18" formatCode="0.00">
                  <c:v>51.878090727816549</c:v>
                </c:pt>
                <c:pt idx="19" formatCode="0.00">
                  <c:v>27.668315054835499</c:v>
                </c:pt>
                <c:pt idx="20" formatCode="0.00">
                  <c:v>40.990096377534059</c:v>
                </c:pt>
                <c:pt idx="21" formatCode="0.00">
                  <c:v>39.276664402173914</c:v>
                </c:pt>
                <c:pt idx="22" formatCode="0.00">
                  <c:v>65.578729931506814</c:v>
                </c:pt>
                <c:pt idx="23" formatCode="0.00">
                  <c:v>162.03146923162802</c:v>
                </c:pt>
                <c:pt idx="24" formatCode="0.00">
                  <c:v>95.515130584808077</c:v>
                </c:pt>
                <c:pt idx="25" formatCode="0.00">
                  <c:v>50.823276390775959</c:v>
                </c:pt>
                <c:pt idx="26" formatCode="0.00">
                  <c:v>29.065271909353079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F2-D342-936F-E376A4C1336B}"/>
            </c:ext>
          </c:extLst>
        </c:ser>
        <c:ser>
          <c:idx val="9"/>
          <c:order val="9"/>
          <c:tx>
            <c:strRef>
              <c:f>Summary!$B$30</c:f>
              <c:strCache>
                <c:ptCount val="1"/>
                <c:pt idx="0">
                  <c:v>PROTOZOA INCERTAE SEDIS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Summary!$C$30:$AC$30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25.45709729770531</c:v>
                </c:pt>
                <c:pt idx="4">
                  <c:v>0</c:v>
                </c:pt>
                <c:pt idx="5">
                  <c:v>0</c:v>
                </c:pt>
                <c:pt idx="6">
                  <c:v>42.428495496175515</c:v>
                </c:pt>
                <c:pt idx="7">
                  <c:v>25.45709729770531</c:v>
                </c:pt>
                <c:pt idx="8">
                  <c:v>0</c:v>
                </c:pt>
                <c:pt idx="9">
                  <c:v>5.6041147391159862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3.3357825828071337</c:v>
                </c:pt>
                <c:pt idx="15" formatCode="0.00">
                  <c:v>0</c:v>
                </c:pt>
                <c:pt idx="16" formatCode="0.00">
                  <c:v>8.406172108673978</c:v>
                </c:pt>
                <c:pt idx="17" formatCode="0.00">
                  <c:v>10.507715135842473</c:v>
                </c:pt>
                <c:pt idx="18" formatCode="0.00">
                  <c:v>152.74258378623188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10.507715135842473</c:v>
                </c:pt>
                <c:pt idx="24" formatCode="0.00">
                  <c:v>10.507715135842473</c:v>
                </c:pt>
                <c:pt idx="25" formatCode="0.00">
                  <c:v>3.5025717119474904</c:v>
                </c:pt>
                <c:pt idx="26" formatCode="0.00">
                  <c:v>3.5025717119474904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F2-D342-936F-E376A4C1336B}"/>
            </c:ext>
          </c:extLst>
        </c:ser>
        <c:ser>
          <c:idx val="10"/>
          <c:order val="10"/>
          <c:tx>
            <c:strRef>
              <c:f>Summary!$B$31</c:f>
              <c:strCache>
                <c:ptCount val="1"/>
                <c:pt idx="0">
                  <c:v>Flagellates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Summary!$C$31:$AC$31</c:f>
              <c:numCache>
                <c:formatCode>#,##0.00</c:formatCode>
                <c:ptCount val="27"/>
                <c:pt idx="0">
                  <c:v>0.27506196021311063</c:v>
                </c:pt>
                <c:pt idx="1">
                  <c:v>3.9653065769361406</c:v>
                </c:pt>
                <c:pt idx="2">
                  <c:v>0.13834157527417748</c:v>
                </c:pt>
                <c:pt idx="3">
                  <c:v>0</c:v>
                </c:pt>
                <c:pt idx="4">
                  <c:v>0</c:v>
                </c:pt>
                <c:pt idx="5">
                  <c:v>0.52976897510593213</c:v>
                </c:pt>
                <c:pt idx="6">
                  <c:v>0.51102738828351912</c:v>
                </c:pt>
                <c:pt idx="7">
                  <c:v>0.58456768851902163</c:v>
                </c:pt>
                <c:pt idx="8">
                  <c:v>0.29032001103940219</c:v>
                </c:pt>
                <c:pt idx="9">
                  <c:v>4.8434673318614134</c:v>
                </c:pt>
                <c:pt idx="10">
                  <c:v>10.596189444633152</c:v>
                </c:pt>
                <c:pt idx="11">
                  <c:v>30.699295507812501</c:v>
                </c:pt>
                <c:pt idx="12">
                  <c:v>15.668770652173915</c:v>
                </c:pt>
                <c:pt idx="13">
                  <c:v>21.387452989130438</c:v>
                </c:pt>
                <c:pt idx="14">
                  <c:v>13.301697010869564</c:v>
                </c:pt>
                <c:pt idx="15" formatCode="0.00">
                  <c:v>5.9312127321105068</c:v>
                </c:pt>
                <c:pt idx="16" formatCode="0.00">
                  <c:v>12.168892548403532</c:v>
                </c:pt>
                <c:pt idx="17" formatCode="0.00">
                  <c:v>8.9897738705842389</c:v>
                </c:pt>
                <c:pt idx="18" formatCode="0.00">
                  <c:v>7.2288700832201087</c:v>
                </c:pt>
                <c:pt idx="19" formatCode="0.00">
                  <c:v>0.70943289070289151</c:v>
                </c:pt>
                <c:pt idx="20" formatCode="0.00">
                  <c:v>9.552084782608695</c:v>
                </c:pt>
                <c:pt idx="21" formatCode="0.00">
                  <c:v>13.574015217391304</c:v>
                </c:pt>
                <c:pt idx="22" formatCode="0.00">
                  <c:v>7.6668048913043467</c:v>
                </c:pt>
                <c:pt idx="23" formatCode="0.00">
                  <c:v>15.90541255519701</c:v>
                </c:pt>
                <c:pt idx="24" formatCode="0.00">
                  <c:v>12.123069773267662</c:v>
                </c:pt>
                <c:pt idx="25" formatCode="0.00">
                  <c:v>4.3263245838994564</c:v>
                </c:pt>
                <c:pt idx="26" formatCode="0.00">
                  <c:v>5.5962700662364124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F2-D342-936F-E376A4C1336B}"/>
            </c:ext>
          </c:extLst>
        </c:ser>
        <c:ser>
          <c:idx val="11"/>
          <c:order val="11"/>
          <c:tx>
            <c:strRef>
              <c:f>Summary!$B$32</c:f>
              <c:strCache>
                <c:ptCount val="1"/>
                <c:pt idx="0">
                  <c:v>Inceartae sedis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Summary!$C$20:$AC$20</c:f>
              <c:strCache>
                <c:ptCount val="27"/>
                <c:pt idx="0">
                  <c:v>12.03.2024</c:v>
                </c:pt>
                <c:pt idx="1">
                  <c:v>27.03.2024</c:v>
                </c:pt>
                <c:pt idx="2">
                  <c:v>10.04.2024</c:v>
                </c:pt>
                <c:pt idx="3">
                  <c:v>15.04.2024</c:v>
                </c:pt>
                <c:pt idx="4">
                  <c:v>23.04.2024</c:v>
                </c:pt>
                <c:pt idx="5">
                  <c:v>30.04.2024</c:v>
                </c:pt>
                <c:pt idx="6">
                  <c:v>07.05.2024</c:v>
                </c:pt>
                <c:pt idx="7">
                  <c:v>17.05.2024</c:v>
                </c:pt>
                <c:pt idx="8">
                  <c:v>22.05.2024</c:v>
                </c:pt>
                <c:pt idx="9">
                  <c:v>28.05.2024</c:v>
                </c:pt>
                <c:pt idx="10">
                  <c:v>04.06.2024</c:v>
                </c:pt>
                <c:pt idx="11">
                  <c:v>11.06.2024</c:v>
                </c:pt>
                <c:pt idx="12">
                  <c:v>18.06.2024</c:v>
                </c:pt>
                <c:pt idx="13">
                  <c:v>24.06.2024</c:v>
                </c:pt>
                <c:pt idx="14">
                  <c:v>03.07.2024</c:v>
                </c:pt>
                <c:pt idx="15">
                  <c:v>10.07.2024</c:v>
                </c:pt>
                <c:pt idx="16">
                  <c:v>16.07.2024</c:v>
                </c:pt>
                <c:pt idx="17">
                  <c:v>22.07.2024</c:v>
                </c:pt>
                <c:pt idx="18">
                  <c:v>30.07.2024</c:v>
                </c:pt>
                <c:pt idx="19">
                  <c:v>06.08.2024</c:v>
                </c:pt>
                <c:pt idx="20">
                  <c:v>14.08.2024</c:v>
                </c:pt>
                <c:pt idx="21">
                  <c:v>20.08.2024</c:v>
                </c:pt>
                <c:pt idx="22">
                  <c:v>29.08.2024</c:v>
                </c:pt>
                <c:pt idx="23">
                  <c:v>04.09.2024</c:v>
                </c:pt>
                <c:pt idx="24">
                  <c:v>12.09.2024</c:v>
                </c:pt>
                <c:pt idx="25">
                  <c:v>19.09.2024</c:v>
                </c:pt>
                <c:pt idx="26">
                  <c:v>24.09.2024</c:v>
                </c:pt>
              </c:strCache>
            </c:strRef>
          </c:cat>
          <c:val>
            <c:numRef>
              <c:f>Summary!$C$32:$AC$32</c:f>
              <c:numCache>
                <c:formatCode>#,##0.00</c:formatCode>
                <c:ptCount val="27"/>
                <c:pt idx="0">
                  <c:v>5.8337233258557646</c:v>
                </c:pt>
                <c:pt idx="1">
                  <c:v>185.50077658891908</c:v>
                </c:pt>
                <c:pt idx="2">
                  <c:v>130.17450335899758</c:v>
                </c:pt>
                <c:pt idx="3">
                  <c:v>96.866146316425116</c:v>
                </c:pt>
                <c:pt idx="4">
                  <c:v>39.341252694746373</c:v>
                </c:pt>
                <c:pt idx="5">
                  <c:v>0.15499380192755066</c:v>
                </c:pt>
                <c:pt idx="6">
                  <c:v>0.48118808791018247</c:v>
                </c:pt>
                <c:pt idx="7">
                  <c:v>0</c:v>
                </c:pt>
                <c:pt idx="8">
                  <c:v>2.0109652173913042</c:v>
                </c:pt>
                <c:pt idx="9">
                  <c:v>18.183640926932366</c:v>
                </c:pt>
                <c:pt idx="10">
                  <c:v>0</c:v>
                </c:pt>
                <c:pt idx="11">
                  <c:v>11.102785680857487</c:v>
                </c:pt>
                <c:pt idx="12">
                  <c:v>0</c:v>
                </c:pt>
                <c:pt idx="13">
                  <c:v>10.097303072161836</c:v>
                </c:pt>
                <c:pt idx="14">
                  <c:v>6.153925966183575</c:v>
                </c:pt>
                <c:pt idx="15" formatCode="0.00">
                  <c:v>6.7315353814412227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84.80035501207729</c:v>
                </c:pt>
                <c:pt idx="19" formatCode="0.00">
                  <c:v>12.056295636640803</c:v>
                </c:pt>
                <c:pt idx="20" formatCode="0.00">
                  <c:v>0</c:v>
                </c:pt>
                <c:pt idx="21" formatCode="0.00">
                  <c:v>4.0219304347826084</c:v>
                </c:pt>
                <c:pt idx="22" formatCode="0.00">
                  <c:v>0.3351608695652174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1.0054826086956521</c:v>
                </c:pt>
                <c:pt idx="26" formatCode="0.00">
                  <c:v>2.0109652173913042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F2-D342-936F-E376A4C13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4442975"/>
        <c:axId val="1214440095"/>
      </c:barChart>
      <c:catAx>
        <c:axId val="121444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0095"/>
        <c:crosses val="autoZero"/>
        <c:auto val="1"/>
        <c:lblAlgn val="ctr"/>
        <c:lblOffset val="100"/>
        <c:noMultiLvlLbl val="0"/>
      </c:catAx>
      <c:valAx>
        <c:axId val="12144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4297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</xdr:colOff>
      <xdr:row>35</xdr:row>
      <xdr:rowOff>45719</xdr:rowOff>
    </xdr:from>
    <xdr:to>
      <xdr:col>10</xdr:col>
      <xdr:colOff>662937</xdr:colOff>
      <xdr:row>55</xdr:row>
      <xdr:rowOff>110435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3390537-22B3-6E42-8757-D6C507590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77</xdr:row>
      <xdr:rowOff>55245</xdr:rowOff>
    </xdr:from>
    <xdr:to>
      <xdr:col>10</xdr:col>
      <xdr:colOff>551495</xdr:colOff>
      <xdr:row>93</xdr:row>
      <xdr:rowOff>45720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ADE9B72-5B3A-504B-978D-7447ED00E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142876</xdr:colOff>
      <xdr:row>56</xdr:row>
      <xdr:rowOff>62865</xdr:rowOff>
    </xdr:from>
    <xdr:to>
      <xdr:col>10</xdr:col>
      <xdr:colOff>694371</xdr:colOff>
      <xdr:row>72</xdr:row>
      <xdr:rowOff>91440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21D5535-C4A9-A54C-AE0A-6EF78F156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53340</xdr:colOff>
      <xdr:row>96</xdr:row>
      <xdr:rowOff>91440</xdr:rowOff>
    </xdr:from>
    <xdr:to>
      <xdr:col>10</xdr:col>
      <xdr:colOff>604835</xdr:colOff>
      <xdr:row>112</xdr:row>
      <xdr:rowOff>85725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9213EC6-7C9F-E243-9366-7F0A8398A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1DE4-6D4D-1647-8A87-A7896D28BEE7}">
  <dimension ref="A1:D32"/>
  <sheetViews>
    <sheetView workbookViewId="0"/>
  </sheetViews>
  <sheetFormatPr defaultColWidth="10.625" defaultRowHeight="15.75"/>
  <cols>
    <col min="1" max="1" width="20.875" style="1" customWidth="1"/>
    <col min="2" max="2" width="24.5" style="1" customWidth="1"/>
    <col min="3" max="3" width="21.875" style="1" bestFit="1" customWidth="1"/>
    <col min="4" max="4" width="22" style="1" customWidth="1"/>
    <col min="5" max="16384" width="10.625" style="1"/>
  </cols>
  <sheetData>
    <row r="1" spans="1:4" ht="32.1" customHeight="1">
      <c r="A1" s="2"/>
      <c r="B1" s="47" t="s">
        <v>0</v>
      </c>
      <c r="C1" s="47"/>
      <c r="D1" s="2"/>
    </row>
    <row r="2" spans="1:4" ht="29.1" customHeight="1">
      <c r="A2" s="2"/>
      <c r="B2" s="47" t="s">
        <v>1</v>
      </c>
      <c r="C2" s="47"/>
      <c r="D2" s="2"/>
    </row>
    <row r="3" spans="1:4" ht="29.1" customHeight="1">
      <c r="A3" s="13"/>
      <c r="B3" s="47" t="s">
        <v>2</v>
      </c>
      <c r="C3" s="47"/>
      <c r="D3" s="2"/>
    </row>
    <row r="4" spans="1:4" ht="27" customHeight="1">
      <c r="A4" s="12" t="s">
        <v>3</v>
      </c>
      <c r="B4" s="48" t="s">
        <v>4</v>
      </c>
      <c r="C4" s="47"/>
      <c r="D4" s="2"/>
    </row>
    <row r="5" spans="1:4">
      <c r="A5" s="11" t="s">
        <v>5</v>
      </c>
      <c r="B5" s="10" t="s">
        <v>6</v>
      </c>
      <c r="C5" s="9" t="s">
        <v>7</v>
      </c>
      <c r="D5" s="8" t="s">
        <v>8</v>
      </c>
    </row>
    <row r="6" spans="1:4">
      <c r="A6" s="7">
        <v>1</v>
      </c>
      <c r="B6" s="3" t="s">
        <v>9</v>
      </c>
      <c r="C6" s="4">
        <v>1</v>
      </c>
      <c r="D6" s="2" t="s">
        <v>10</v>
      </c>
    </row>
    <row r="7" spans="1:4">
      <c r="A7" s="5">
        <v>2</v>
      </c>
      <c r="B7" s="3" t="s">
        <v>9</v>
      </c>
      <c r="C7" s="4">
        <v>2</v>
      </c>
      <c r="D7" s="2" t="s">
        <v>11</v>
      </c>
    </row>
    <row r="8" spans="1:4">
      <c r="A8" s="5">
        <v>3</v>
      </c>
      <c r="B8" s="3" t="s">
        <v>9</v>
      </c>
      <c r="C8" s="4">
        <v>3</v>
      </c>
      <c r="D8" s="2" t="s">
        <v>12</v>
      </c>
    </row>
    <row r="9" spans="1:4">
      <c r="A9" s="5">
        <v>4</v>
      </c>
      <c r="B9" s="3" t="s">
        <v>9</v>
      </c>
      <c r="C9" s="4">
        <v>4</v>
      </c>
      <c r="D9" s="2" t="s">
        <v>13</v>
      </c>
    </row>
    <row r="10" spans="1:4">
      <c r="A10" s="5">
        <v>5</v>
      </c>
      <c r="B10" s="3" t="s">
        <v>9</v>
      </c>
      <c r="C10" s="4">
        <v>5</v>
      </c>
      <c r="D10" s="2" t="s">
        <v>14</v>
      </c>
    </row>
    <row r="11" spans="1:4">
      <c r="A11" s="5">
        <v>6</v>
      </c>
      <c r="B11" s="3" t="s">
        <v>9</v>
      </c>
      <c r="C11" s="4">
        <v>6</v>
      </c>
      <c r="D11" s="2" t="s">
        <v>15</v>
      </c>
    </row>
    <row r="12" spans="1:4">
      <c r="A12" s="5">
        <v>7</v>
      </c>
      <c r="B12" s="3" t="s">
        <v>9</v>
      </c>
      <c r="C12" s="4">
        <v>7</v>
      </c>
      <c r="D12" s="2" t="s">
        <v>16</v>
      </c>
    </row>
    <row r="13" spans="1:4">
      <c r="A13" s="5">
        <v>8</v>
      </c>
      <c r="B13" s="3" t="s">
        <v>9</v>
      </c>
      <c r="C13" s="4">
        <v>8</v>
      </c>
      <c r="D13" s="2" t="s">
        <v>17</v>
      </c>
    </row>
    <row r="14" spans="1:4">
      <c r="A14" s="5">
        <v>9</v>
      </c>
      <c r="B14" s="3" t="s">
        <v>9</v>
      </c>
      <c r="C14" s="4">
        <v>9</v>
      </c>
      <c r="D14" s="2" t="s">
        <v>18</v>
      </c>
    </row>
    <row r="15" spans="1:4">
      <c r="A15" s="5">
        <v>10</v>
      </c>
      <c r="B15" s="3" t="s">
        <v>9</v>
      </c>
      <c r="C15" s="4">
        <v>10</v>
      </c>
      <c r="D15" s="2" t="s">
        <v>19</v>
      </c>
    </row>
    <row r="16" spans="1:4">
      <c r="A16" s="5">
        <v>11</v>
      </c>
      <c r="B16" s="3" t="s">
        <v>9</v>
      </c>
      <c r="C16" s="4">
        <v>11</v>
      </c>
      <c r="D16" s="2" t="s">
        <v>20</v>
      </c>
    </row>
    <row r="17" spans="1:4">
      <c r="A17" s="5">
        <v>12</v>
      </c>
      <c r="B17" s="3" t="s">
        <v>9</v>
      </c>
      <c r="C17" s="4">
        <v>12</v>
      </c>
      <c r="D17" s="2" t="s">
        <v>21</v>
      </c>
    </row>
    <row r="18" spans="1:4">
      <c r="A18" s="5">
        <v>13</v>
      </c>
      <c r="B18" s="3" t="s">
        <v>9</v>
      </c>
      <c r="C18" s="4">
        <v>13</v>
      </c>
      <c r="D18" s="2" t="s">
        <v>22</v>
      </c>
    </row>
    <row r="19" spans="1:4">
      <c r="A19" s="5">
        <v>14</v>
      </c>
      <c r="B19" s="3" t="s">
        <v>9</v>
      </c>
      <c r="C19" s="4">
        <v>14</v>
      </c>
      <c r="D19" s="2" t="s">
        <v>23</v>
      </c>
    </row>
    <row r="20" spans="1:4">
      <c r="A20" s="5">
        <v>15</v>
      </c>
      <c r="B20" s="3" t="s">
        <v>9</v>
      </c>
      <c r="C20" s="4">
        <v>15</v>
      </c>
      <c r="D20" s="2" t="s">
        <v>24</v>
      </c>
    </row>
    <row r="21" spans="1:4">
      <c r="A21" s="5">
        <v>16</v>
      </c>
      <c r="B21" s="6" t="s">
        <v>9</v>
      </c>
      <c r="C21" s="4">
        <v>16</v>
      </c>
      <c r="D21" s="2" t="s">
        <v>25</v>
      </c>
    </row>
    <row r="22" spans="1:4">
      <c r="A22" s="5">
        <v>17</v>
      </c>
      <c r="B22" s="6" t="s">
        <v>9</v>
      </c>
      <c r="C22" s="4">
        <v>17</v>
      </c>
      <c r="D22" s="2" t="s">
        <v>26</v>
      </c>
    </row>
    <row r="23" spans="1:4">
      <c r="A23" s="5">
        <v>18</v>
      </c>
      <c r="B23" s="6" t="s">
        <v>9</v>
      </c>
      <c r="C23" s="4">
        <v>18</v>
      </c>
      <c r="D23" s="2" t="s">
        <v>27</v>
      </c>
    </row>
    <row r="24" spans="1:4">
      <c r="A24" s="5">
        <v>19</v>
      </c>
      <c r="B24" s="6" t="s">
        <v>9</v>
      </c>
      <c r="C24" s="4">
        <v>19</v>
      </c>
      <c r="D24" s="2" t="s">
        <v>28</v>
      </c>
    </row>
    <row r="25" spans="1:4">
      <c r="A25" s="5">
        <v>20</v>
      </c>
      <c r="B25" s="6" t="s">
        <v>9</v>
      </c>
      <c r="C25" s="4">
        <v>20</v>
      </c>
      <c r="D25" s="2" t="s">
        <v>29</v>
      </c>
    </row>
    <row r="26" spans="1:4">
      <c r="A26" s="5">
        <v>21</v>
      </c>
      <c r="B26" s="3" t="s">
        <v>9</v>
      </c>
      <c r="C26" s="4">
        <v>21</v>
      </c>
      <c r="D26" s="2" t="s">
        <v>30</v>
      </c>
    </row>
    <row r="27" spans="1:4">
      <c r="A27" s="5">
        <v>22</v>
      </c>
      <c r="B27" s="3" t="s">
        <v>9</v>
      </c>
      <c r="C27" s="4">
        <v>22</v>
      </c>
      <c r="D27" s="2" t="s">
        <v>31</v>
      </c>
    </row>
    <row r="28" spans="1:4">
      <c r="A28" s="5">
        <v>23</v>
      </c>
      <c r="B28" s="3" t="s">
        <v>9</v>
      </c>
      <c r="C28" s="4">
        <v>23</v>
      </c>
      <c r="D28" s="2" t="s">
        <v>32</v>
      </c>
    </row>
    <row r="29" spans="1:4">
      <c r="A29" s="5">
        <v>24</v>
      </c>
      <c r="B29" s="3" t="s">
        <v>9</v>
      </c>
      <c r="C29" s="4">
        <v>24</v>
      </c>
      <c r="D29" s="2" t="s">
        <v>33</v>
      </c>
    </row>
    <row r="30" spans="1:4">
      <c r="A30" s="5">
        <v>25</v>
      </c>
      <c r="B30" s="3" t="s">
        <v>9</v>
      </c>
      <c r="C30" s="4">
        <v>25</v>
      </c>
      <c r="D30" s="2" t="s">
        <v>34</v>
      </c>
    </row>
    <row r="31" spans="1:4">
      <c r="A31" s="5">
        <v>26</v>
      </c>
      <c r="B31" s="3" t="s">
        <v>9</v>
      </c>
      <c r="C31" s="4">
        <v>26</v>
      </c>
      <c r="D31" s="2" t="s">
        <v>35</v>
      </c>
    </row>
    <row r="32" spans="1:4">
      <c r="A32" s="5">
        <v>27</v>
      </c>
      <c r="B32" s="3" t="s">
        <v>9</v>
      </c>
      <c r="C32" s="4">
        <v>27</v>
      </c>
      <c r="D32" s="2" t="s">
        <v>36</v>
      </c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82D3-8430-B742-9DBA-8A079DE26554}">
  <dimension ref="B2:AZ33"/>
  <sheetViews>
    <sheetView tabSelected="1" topLeftCell="A6" workbookViewId="0">
      <selection activeCell="I35" sqref="I35"/>
    </sheetView>
  </sheetViews>
  <sheetFormatPr defaultColWidth="8.875" defaultRowHeight="14.25"/>
  <cols>
    <col min="1" max="1" width="8.875" style="14"/>
    <col min="2" max="2" width="19.625" style="14" customWidth="1"/>
    <col min="3" max="29" width="10.5" style="14" bestFit="1" customWidth="1"/>
    <col min="30" max="32" width="9.875" style="14" customWidth="1"/>
    <col min="33" max="40" width="8.875" style="14"/>
    <col min="41" max="41" width="9.125" style="14" customWidth="1"/>
    <col min="42" max="42" width="8.5" style="14" customWidth="1"/>
    <col min="43" max="43" width="6.875" style="14" customWidth="1"/>
    <col min="44" max="44" width="7.5" style="14" customWidth="1"/>
    <col min="45" max="45" width="8.125" style="14" customWidth="1"/>
    <col min="46" max="47" width="7.625" style="14" customWidth="1"/>
    <col min="48" max="16384" width="8.875" style="14"/>
  </cols>
  <sheetData>
    <row r="2" spans="2:52">
      <c r="B2" s="45" t="s">
        <v>37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pans="2:52" s="33" customFormat="1" ht="15.75"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" t="s">
        <v>36</v>
      </c>
      <c r="AD3" s="34"/>
      <c r="AF3" s="34"/>
      <c r="AG3" s="34"/>
      <c r="AI3" s="34"/>
      <c r="AK3" s="34"/>
      <c r="AM3" s="34"/>
      <c r="AN3" s="34"/>
      <c r="AO3" s="34"/>
      <c r="AP3" s="34"/>
      <c r="AQ3" s="34"/>
      <c r="AR3" s="34"/>
      <c r="AS3" s="34"/>
      <c r="AT3" s="34"/>
      <c r="AU3" s="34"/>
      <c r="AW3" s="34"/>
      <c r="AY3" s="34"/>
    </row>
    <row r="4" spans="2:52" ht="15">
      <c r="B4" s="32" t="s">
        <v>38</v>
      </c>
      <c r="C4" s="41">
        <v>26684.782608695652</v>
      </c>
      <c r="D4" s="42">
        <v>71607.270579565637</v>
      </c>
      <c r="E4" s="42">
        <v>35579.710144927536</v>
      </c>
      <c r="F4" s="42">
        <v>0</v>
      </c>
      <c r="G4" s="41">
        <v>0</v>
      </c>
      <c r="H4" s="41">
        <v>250</v>
      </c>
      <c r="I4" s="41">
        <v>3192.5961246694701</v>
      </c>
      <c r="J4" s="41">
        <v>0</v>
      </c>
      <c r="K4" s="41">
        <v>128976.44927536231</v>
      </c>
      <c r="L4" s="41">
        <v>355335.68262603495</v>
      </c>
      <c r="M4" s="41">
        <v>64233.478260869568</v>
      </c>
      <c r="N4" s="41">
        <v>77748.22922536738</v>
      </c>
      <c r="O4" s="41">
        <v>123556.13052147903</v>
      </c>
      <c r="P4" s="41">
        <v>221992.73736760733</v>
      </c>
      <c r="Q4" s="41">
        <v>144880.51889879015</v>
      </c>
      <c r="R4" s="38">
        <v>76773.659697236784</v>
      </c>
      <c r="S4" s="38">
        <v>564673.30833586212</v>
      </c>
      <c r="T4" s="38">
        <v>1941496.527771757</v>
      </c>
      <c r="U4" s="38">
        <v>514204.40941667755</v>
      </c>
      <c r="V4" s="38">
        <v>647673.21304026397</v>
      </c>
      <c r="W4" s="38">
        <v>296449.55375429464</v>
      </c>
      <c r="X4" s="38">
        <v>330001.81159420294</v>
      </c>
      <c r="Y4" s="38">
        <v>391866.34299998556</v>
      </c>
      <c r="Z4" s="38">
        <v>320277.39130434784</v>
      </c>
      <c r="AA4" s="38">
        <v>302739.70118629618</v>
      </c>
      <c r="AB4" s="38">
        <v>432231.72330833587</v>
      </c>
      <c r="AC4" s="38">
        <v>175099.14929125665</v>
      </c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</row>
    <row r="5" spans="2:52" ht="15">
      <c r="B5" s="31" t="s">
        <v>39</v>
      </c>
      <c r="C5" s="41">
        <v>53369.565217391304</v>
      </c>
      <c r="D5" s="42">
        <v>0</v>
      </c>
      <c r="E5" s="42">
        <v>0</v>
      </c>
      <c r="F5" s="42">
        <v>26684.782608695652</v>
      </c>
      <c r="G5" s="41">
        <v>8894.927536231884</v>
      </c>
      <c r="H5" s="41">
        <v>1223.82851445663</v>
      </c>
      <c r="I5" s="41">
        <v>1064.1987082231567</v>
      </c>
      <c r="J5" s="41">
        <v>35579.710144927536</v>
      </c>
      <c r="K5" s="41">
        <v>2368.7003505612197</v>
      </c>
      <c r="L5" s="41">
        <v>71159.420289855072</v>
      </c>
      <c r="M5" s="41">
        <v>8894.927536231884</v>
      </c>
      <c r="N5" s="41">
        <v>8894.927536231884</v>
      </c>
      <c r="O5" s="41">
        <v>26684.782608695652</v>
      </c>
      <c r="P5" s="41">
        <v>35579.710144927536</v>
      </c>
      <c r="Q5" s="41">
        <v>0</v>
      </c>
      <c r="R5" s="38">
        <v>48255.499202874467</v>
      </c>
      <c r="S5" s="38">
        <v>204583.33333333334</v>
      </c>
      <c r="T5" s="38">
        <v>80054.34782608696</v>
      </c>
      <c r="U5" s="38">
        <v>133423.91304347824</v>
      </c>
      <c r="V5" s="38">
        <v>169003.62318840579</v>
      </c>
      <c r="W5" s="38">
        <v>382481.88405797101</v>
      </c>
      <c r="X5" s="38">
        <v>329112.31884057971</v>
      </c>
      <c r="Y5" s="38">
        <v>311322.46376811597</v>
      </c>
      <c r="Z5" s="38">
        <v>97844.20289855072</v>
      </c>
      <c r="AA5" s="38">
        <v>204583.33333333334</v>
      </c>
      <c r="AB5" s="38">
        <v>106739.13043478262</v>
      </c>
      <c r="AC5" s="38">
        <v>186793.47826086957</v>
      </c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</row>
    <row r="6" spans="2:52" ht="15">
      <c r="B6" s="30" t="s">
        <v>40</v>
      </c>
      <c r="C6" s="41">
        <v>5000</v>
      </c>
      <c r="D6" s="42">
        <v>22237.318840579708</v>
      </c>
      <c r="E6" s="42">
        <v>255780.15952143568</v>
      </c>
      <c r="F6" s="42">
        <v>48057.439998844049</v>
      </c>
      <c r="G6" s="41">
        <v>299598.54133252415</v>
      </c>
      <c r="H6" s="41">
        <v>1447097.4034418485</v>
      </c>
      <c r="I6" s="41">
        <v>656551.4808232307</v>
      </c>
      <c r="J6" s="41">
        <v>248932.04083401969</v>
      </c>
      <c r="K6" s="41">
        <v>71061.010516836599</v>
      </c>
      <c r="L6" s="41">
        <v>7832.5024925224343</v>
      </c>
      <c r="M6" s="41">
        <v>4895.3140578265202</v>
      </c>
      <c r="N6" s="41">
        <v>979.06281156530429</v>
      </c>
      <c r="O6" s="41">
        <v>11342.584565145145</v>
      </c>
      <c r="P6" s="41">
        <v>39251.195688297434</v>
      </c>
      <c r="Q6" s="41">
        <v>12391.580434679396</v>
      </c>
      <c r="R6" s="38">
        <v>44773.204540966472</v>
      </c>
      <c r="S6" s="38">
        <v>20727.04350715968</v>
      </c>
      <c r="T6" s="38">
        <v>35251.582209892062</v>
      </c>
      <c r="U6" s="38">
        <v>73607.077318768337</v>
      </c>
      <c r="V6" s="38">
        <v>38516.898579623448</v>
      </c>
      <c r="W6" s="38">
        <v>0</v>
      </c>
      <c r="X6" s="38">
        <v>18768.917884029073</v>
      </c>
      <c r="Y6" s="38">
        <v>31580.096666522175</v>
      </c>
      <c r="Z6" s="38">
        <v>38027.367173840801</v>
      </c>
      <c r="AA6" s="38">
        <v>11342.584565145144</v>
      </c>
      <c r="AB6" s="38">
        <v>12616.413079601774</v>
      </c>
      <c r="AC6" s="38">
        <v>54593.393731847937</v>
      </c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</row>
    <row r="7" spans="2:52" ht="15">
      <c r="B7" s="29" t="s">
        <v>41</v>
      </c>
      <c r="C7" s="41">
        <v>0</v>
      </c>
      <c r="D7" s="42">
        <v>0</v>
      </c>
      <c r="E7" s="42">
        <v>1223.82851445663</v>
      </c>
      <c r="F7" s="42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979.06281156530429</v>
      </c>
      <c r="O7" s="41">
        <v>0</v>
      </c>
      <c r="P7" s="41">
        <v>0</v>
      </c>
      <c r="Q7" s="41">
        <v>0</v>
      </c>
      <c r="R7" s="38">
        <v>17789.855072463768</v>
      </c>
      <c r="S7" s="38">
        <v>0</v>
      </c>
      <c r="T7" s="38">
        <v>0</v>
      </c>
      <c r="U7" s="38">
        <v>2447.6570289132601</v>
      </c>
      <c r="V7" s="38">
        <v>0</v>
      </c>
      <c r="W7" s="38">
        <v>53369.565217391304</v>
      </c>
      <c r="X7" s="38">
        <v>0</v>
      </c>
      <c r="Y7" s="38">
        <v>8894.927536231884</v>
      </c>
      <c r="Z7" s="38">
        <v>26684.782608695652</v>
      </c>
      <c r="AA7" s="38">
        <v>0</v>
      </c>
      <c r="AB7" s="38">
        <v>0</v>
      </c>
      <c r="AC7" s="38">
        <v>0</v>
      </c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</row>
    <row r="8" spans="2:52" ht="15">
      <c r="B8" s="28" t="s">
        <v>42</v>
      </c>
      <c r="C8" s="43">
        <v>0</v>
      </c>
      <c r="D8" s="44">
        <v>0</v>
      </c>
      <c r="E8" s="44">
        <v>0</v>
      </c>
      <c r="F8" s="44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8894.927536231884</v>
      </c>
      <c r="P8" s="43">
        <v>0</v>
      </c>
      <c r="Q8" s="43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</row>
    <row r="9" spans="2:52" ht="15">
      <c r="B9" s="27" t="s">
        <v>43</v>
      </c>
      <c r="C9" s="43">
        <v>420138.46865201497</v>
      </c>
      <c r="D9" s="44">
        <v>2420586.4742728332</v>
      </c>
      <c r="E9" s="44">
        <v>2435808.1884780438</v>
      </c>
      <c r="F9" s="44">
        <v>2772865.0013726931</v>
      </c>
      <c r="G9" s="43">
        <v>3384967.7778259427</v>
      </c>
      <c r="H9" s="43">
        <v>123606.67996011964</v>
      </c>
      <c r="I9" s="43">
        <v>140524.22948545669</v>
      </c>
      <c r="J9" s="43">
        <v>0</v>
      </c>
      <c r="K9" s="43">
        <v>47682.904815241047</v>
      </c>
      <c r="L9" s="43">
        <v>169899.32376782695</v>
      </c>
      <c r="M9" s="43">
        <v>146986.0267025012</v>
      </c>
      <c r="N9" s="43">
        <v>8911.5653040877387</v>
      </c>
      <c r="O9" s="43">
        <v>8894.927536231884</v>
      </c>
      <c r="P9" s="43">
        <v>90173.10387677548</v>
      </c>
      <c r="Q9" s="43">
        <v>13557.13140082857</v>
      </c>
      <c r="R9" s="38">
        <v>6745.8373671256759</v>
      </c>
      <c r="S9" s="38">
        <v>4016.2512462612176</v>
      </c>
      <c r="T9" s="38">
        <v>6119.14257228315</v>
      </c>
      <c r="U9" s="38">
        <v>0</v>
      </c>
      <c r="V9" s="38">
        <v>2081.307709524488</v>
      </c>
      <c r="W9" s="38">
        <v>2447.6570289132601</v>
      </c>
      <c r="X9" s="38">
        <v>0</v>
      </c>
      <c r="Y9" s="38">
        <v>19521.626425072609</v>
      </c>
      <c r="Z9" s="38">
        <v>1223.82851445663</v>
      </c>
      <c r="AA9" s="38">
        <v>1523.82851445663</v>
      </c>
      <c r="AB9" s="38">
        <v>12438.2851445663</v>
      </c>
      <c r="AC9" s="38">
        <v>28854.311702573439</v>
      </c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</row>
    <row r="10" spans="2:52" ht="15">
      <c r="B10" s="26" t="s">
        <v>44</v>
      </c>
      <c r="C10" s="41">
        <v>0</v>
      </c>
      <c r="D10" s="42">
        <v>0</v>
      </c>
      <c r="E10" s="42">
        <v>8894.927536231884</v>
      </c>
      <c r="F10" s="42">
        <v>1223.82851445663</v>
      </c>
      <c r="G10" s="41">
        <v>8894.927536231884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8894.927536231884</v>
      </c>
      <c r="P10" s="41">
        <v>2447.6570289132601</v>
      </c>
      <c r="Q10" s="41">
        <v>0</v>
      </c>
      <c r="R10" s="38">
        <v>5929.9516908212554</v>
      </c>
      <c r="S10" s="38">
        <v>17789.855072463768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19013.683586920397</v>
      </c>
      <c r="AA10" s="38">
        <v>8894.927536231884</v>
      </c>
      <c r="AB10" s="38">
        <v>0</v>
      </c>
      <c r="AC10" s="38">
        <v>0</v>
      </c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2:52" ht="15">
      <c r="B11" s="25" t="s">
        <v>45</v>
      </c>
      <c r="C11" s="43">
        <v>0</v>
      </c>
      <c r="D11" s="44">
        <v>88949.275362318833</v>
      </c>
      <c r="E11" s="44">
        <v>26684.782608695652</v>
      </c>
      <c r="F11" s="44">
        <v>0</v>
      </c>
      <c r="G11" s="43">
        <v>8894.927536231884</v>
      </c>
      <c r="H11" s="43">
        <v>0</v>
      </c>
      <c r="I11" s="43">
        <v>7449.3909575620974</v>
      </c>
      <c r="J11" s="43">
        <v>0</v>
      </c>
      <c r="K11" s="43">
        <v>35579.710144927536</v>
      </c>
      <c r="L11" s="43">
        <v>44474.637681159424</v>
      </c>
      <c r="M11" s="43">
        <v>0</v>
      </c>
      <c r="N11" s="43">
        <v>26684.782608695652</v>
      </c>
      <c r="O11" s="43">
        <v>8894.927536231884</v>
      </c>
      <c r="P11" s="43">
        <v>106739.13043478262</v>
      </c>
      <c r="Q11" s="43">
        <v>62264.492753623184</v>
      </c>
      <c r="R11" s="38">
        <v>65979.468599033804</v>
      </c>
      <c r="S11" s="38">
        <v>80054.347826086945</v>
      </c>
      <c r="T11" s="38">
        <v>8894.927536231884</v>
      </c>
      <c r="U11" s="38">
        <v>20805.08474576271</v>
      </c>
      <c r="V11" s="38">
        <v>62264.492753623184</v>
      </c>
      <c r="W11" s="38">
        <v>151213.76811594202</v>
      </c>
      <c r="X11" s="38">
        <v>204583.33333333334</v>
      </c>
      <c r="Y11" s="38">
        <v>35579.710144927536</v>
      </c>
      <c r="Z11" s="38">
        <v>80054.34782608696</v>
      </c>
      <c r="AA11" s="38">
        <v>222373.18840579712</v>
      </c>
      <c r="AB11" s="38">
        <v>62264.492753623184</v>
      </c>
      <c r="AC11" s="38">
        <v>177898.55072463769</v>
      </c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2:52" ht="15">
      <c r="B12" s="23" t="s">
        <v>46</v>
      </c>
      <c r="C12" s="41">
        <v>0</v>
      </c>
      <c r="D12" s="42">
        <v>0</v>
      </c>
      <c r="E12" s="42">
        <v>25700.398803589233</v>
      </c>
      <c r="F12" s="42">
        <v>6119.14257228315</v>
      </c>
      <c r="G12" s="41">
        <v>30028.140217030068</v>
      </c>
      <c r="H12" s="41">
        <v>49369.951738985939</v>
      </c>
      <c r="I12" s="41">
        <v>112250.79291112168</v>
      </c>
      <c r="J12" s="41">
        <v>28559.545999682116</v>
      </c>
      <c r="K12" s="41">
        <v>6032.6239324919115</v>
      </c>
      <c r="L12" s="41">
        <v>18602.193419740779</v>
      </c>
      <c r="M12" s="41">
        <v>24804.698224168074</v>
      </c>
      <c r="N12" s="41">
        <v>6853.4396809571299</v>
      </c>
      <c r="O12" s="41">
        <v>20805.084745762713</v>
      </c>
      <c r="P12" s="41">
        <v>54832.838441198139</v>
      </c>
      <c r="Q12" s="41">
        <v>9324.4077291933718</v>
      </c>
      <c r="R12" s="38">
        <v>31819.541375872388</v>
      </c>
      <c r="S12" s="38">
        <v>8811.5653040877387</v>
      </c>
      <c r="T12" s="38">
        <v>30028.140217030068</v>
      </c>
      <c r="U12" s="38">
        <v>3671.4855433698904</v>
      </c>
      <c r="V12" s="38">
        <v>1958.1256231306086</v>
      </c>
      <c r="W12" s="38">
        <v>1223.82851445663</v>
      </c>
      <c r="X12" s="38">
        <v>17789.855072463768</v>
      </c>
      <c r="Y12" s="38">
        <v>17053.784299276085</v>
      </c>
      <c r="Z12" s="38">
        <v>14685.942173479561</v>
      </c>
      <c r="AA12" s="38">
        <v>11014.456630109671</v>
      </c>
      <c r="AB12" s="38">
        <v>17789.855072463768</v>
      </c>
      <c r="AC12" s="38">
        <v>12566.413079601774</v>
      </c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2:52" ht="15">
      <c r="B13" s="22" t="s">
        <v>47</v>
      </c>
      <c r="C13" s="41">
        <v>0</v>
      </c>
      <c r="D13" s="42">
        <v>0</v>
      </c>
      <c r="E13" s="42">
        <v>0</v>
      </c>
      <c r="F13" s="42">
        <v>8894.927536231884</v>
      </c>
      <c r="G13" s="41">
        <v>0</v>
      </c>
      <c r="H13" s="41">
        <v>0</v>
      </c>
      <c r="I13" s="41">
        <v>14824.879227053138</v>
      </c>
      <c r="J13" s="41">
        <v>8894.927536231884</v>
      </c>
      <c r="K13" s="41">
        <v>0</v>
      </c>
      <c r="L13" s="41">
        <v>1958.1256231306086</v>
      </c>
      <c r="M13" s="41">
        <v>0</v>
      </c>
      <c r="N13" s="41">
        <v>0</v>
      </c>
      <c r="O13" s="41">
        <v>0</v>
      </c>
      <c r="P13" s="41">
        <v>0</v>
      </c>
      <c r="Q13" s="41">
        <v>1165.5509661491715</v>
      </c>
      <c r="R13" s="38">
        <v>0</v>
      </c>
      <c r="S13" s="38">
        <v>2937.1884346959127</v>
      </c>
      <c r="T13" s="38">
        <v>3671.4855433698904</v>
      </c>
      <c r="U13" s="38">
        <v>53369.565217391304</v>
      </c>
      <c r="V13" s="38">
        <v>0</v>
      </c>
      <c r="W13" s="38">
        <v>0</v>
      </c>
      <c r="X13" s="38">
        <v>0</v>
      </c>
      <c r="Y13" s="38">
        <v>0</v>
      </c>
      <c r="Z13" s="38">
        <v>3671.4855433698904</v>
      </c>
      <c r="AA13" s="38">
        <v>3671.4855433698904</v>
      </c>
      <c r="AB13" s="38">
        <v>1223.82851445663</v>
      </c>
      <c r="AC13" s="38">
        <v>1223.82851445663</v>
      </c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</row>
    <row r="14" spans="2:52" ht="15">
      <c r="B14" s="22" t="s">
        <v>48</v>
      </c>
      <c r="C14" s="41">
        <v>25700.398803589233</v>
      </c>
      <c r="D14" s="42">
        <v>311322.46376811591</v>
      </c>
      <c r="E14" s="42">
        <v>7342.9710867397807</v>
      </c>
      <c r="F14" s="42">
        <v>0</v>
      </c>
      <c r="G14" s="41">
        <v>0</v>
      </c>
      <c r="H14" s="41">
        <v>31819.541375872381</v>
      </c>
      <c r="I14" s="41">
        <v>28733.365122025232</v>
      </c>
      <c r="J14" s="41">
        <v>44474.637681159424</v>
      </c>
      <c r="K14" s="41">
        <v>35579.710144927536</v>
      </c>
      <c r="L14" s="41">
        <v>942862.31884057971</v>
      </c>
      <c r="M14" s="41">
        <v>871702.89855072461</v>
      </c>
      <c r="N14" s="41">
        <v>1725615.9420289854</v>
      </c>
      <c r="O14" s="41">
        <v>747173.91304347827</v>
      </c>
      <c r="P14" s="41">
        <v>480326.08695652173</v>
      </c>
      <c r="Q14" s="41">
        <v>515905.79710144928</v>
      </c>
      <c r="R14" s="38">
        <v>628574.87922705314</v>
      </c>
      <c r="S14" s="38">
        <v>800543.47826086963</v>
      </c>
      <c r="T14" s="38">
        <v>1458768.1159420288</v>
      </c>
      <c r="U14" s="38">
        <v>800543.47826086963</v>
      </c>
      <c r="V14" s="38">
        <v>105738.78364905287</v>
      </c>
      <c r="W14" s="38">
        <v>507010.86956521741</v>
      </c>
      <c r="X14" s="38">
        <v>213478.26086956522</v>
      </c>
      <c r="Y14" s="38">
        <v>364692.0289855072</v>
      </c>
      <c r="Z14" s="38">
        <v>649329.71014492749</v>
      </c>
      <c r="AA14" s="38">
        <v>613750</v>
      </c>
      <c r="AB14" s="38">
        <v>275742.75362318842</v>
      </c>
      <c r="AC14" s="38">
        <v>418061.59420289856</v>
      </c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</row>
    <row r="15" spans="2:52">
      <c r="B15" s="20" t="s">
        <v>49</v>
      </c>
      <c r="C15" s="40">
        <v>12238.2851445663</v>
      </c>
      <c r="D15" s="40">
        <v>389153.0797101449</v>
      </c>
      <c r="E15" s="40">
        <v>367139.68601442053</v>
      </c>
      <c r="F15" s="40">
        <v>284637.68115942029</v>
      </c>
      <c r="G15" s="39">
        <v>133423.91304347827</v>
      </c>
      <c r="H15" s="39">
        <v>1223.82851445663</v>
      </c>
      <c r="I15" s="39">
        <v>4256.7948328926268</v>
      </c>
      <c r="J15" s="39">
        <v>0</v>
      </c>
      <c r="K15" s="39">
        <v>17789.855072463768</v>
      </c>
      <c r="L15" s="39">
        <v>17789.855072463768</v>
      </c>
      <c r="M15" s="39">
        <v>0</v>
      </c>
      <c r="N15" s="39">
        <v>26684.782608695652</v>
      </c>
      <c r="O15" s="39">
        <v>0</v>
      </c>
      <c r="P15" s="39">
        <v>17789.855072463768</v>
      </c>
      <c r="Q15" s="39">
        <v>53369.565217391311</v>
      </c>
      <c r="R15" s="38">
        <v>17789.855072463768</v>
      </c>
      <c r="S15" s="38">
        <v>0</v>
      </c>
      <c r="T15" s="38">
        <v>0</v>
      </c>
      <c r="U15" s="38">
        <v>177898.55072463769</v>
      </c>
      <c r="V15" s="38">
        <v>90907.400985449451</v>
      </c>
      <c r="W15" s="38">
        <v>0</v>
      </c>
      <c r="X15" s="38">
        <v>35579.710144927536</v>
      </c>
      <c r="Y15" s="38">
        <v>8894.927536231884</v>
      </c>
      <c r="Z15" s="38">
        <v>17789.855072463768</v>
      </c>
      <c r="AA15" s="38">
        <v>0</v>
      </c>
      <c r="AB15" s="38">
        <v>8894.927536231884</v>
      </c>
      <c r="AC15" s="38">
        <v>17789.855072463768</v>
      </c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</row>
    <row r="16" spans="2:52">
      <c r="B16" s="17" t="s">
        <v>50</v>
      </c>
      <c r="C16" s="36">
        <v>543131.50042625749</v>
      </c>
      <c r="D16" s="37">
        <v>3303855.8825335582</v>
      </c>
      <c r="E16" s="37">
        <v>3164154.6527085407</v>
      </c>
      <c r="F16" s="37">
        <v>3148482.803762625</v>
      </c>
      <c r="G16" s="36">
        <v>3874703.1550276708</v>
      </c>
      <c r="H16" s="36">
        <v>1654591.2335457394</v>
      </c>
      <c r="I16" s="36">
        <v>968847.72819223488</v>
      </c>
      <c r="J16" s="36">
        <v>366440.86219602061</v>
      </c>
      <c r="K16" s="36">
        <v>345070.96425281191</v>
      </c>
      <c r="L16" s="36">
        <v>1629914.0598133137</v>
      </c>
      <c r="M16" s="36">
        <v>1121517.3433323218</v>
      </c>
      <c r="N16" s="36">
        <v>1883351.7946161514</v>
      </c>
      <c r="O16" s="36">
        <v>965142.20562948834</v>
      </c>
      <c r="P16" s="36">
        <v>1049132.3150114873</v>
      </c>
      <c r="Q16" s="36">
        <v>812859.0445021044</v>
      </c>
      <c r="R16" s="36">
        <v>944431.75184591149</v>
      </c>
      <c r="S16" s="36">
        <v>1704136.3713208204</v>
      </c>
      <c r="T16" s="36">
        <v>3564284.2696186798</v>
      </c>
      <c r="U16" s="36">
        <v>1779971.2212998688</v>
      </c>
      <c r="V16" s="36">
        <v>1118143.8455290738</v>
      </c>
      <c r="W16" s="36">
        <v>1394197.1262541865</v>
      </c>
      <c r="X16" s="36">
        <v>1149314.2077391017</v>
      </c>
      <c r="Y16" s="36">
        <v>1189405.9083618708</v>
      </c>
      <c r="Z16" s="36">
        <v>1268602.5968471398</v>
      </c>
      <c r="AA16" s="36">
        <v>1379893.5057147399</v>
      </c>
      <c r="AB16" s="36">
        <v>929941.40946725057</v>
      </c>
      <c r="AC16" s="36">
        <v>1072880.5745806061</v>
      </c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</row>
    <row r="19" spans="2:52">
      <c r="B19" s="35" t="s">
        <v>51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</row>
    <row r="20" spans="2:52" s="33" customFormat="1" ht="15.75"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  <c r="H20" s="2" t="s">
        <v>15</v>
      </c>
      <c r="I20" s="2" t="s">
        <v>16</v>
      </c>
      <c r="J20" s="2" t="s">
        <v>17</v>
      </c>
      <c r="K20" s="2" t="s">
        <v>18</v>
      </c>
      <c r="L20" s="2" t="s">
        <v>19</v>
      </c>
      <c r="M20" s="2" t="s">
        <v>20</v>
      </c>
      <c r="N20" s="2" t="s">
        <v>21</v>
      </c>
      <c r="O20" s="2" t="s">
        <v>22</v>
      </c>
      <c r="P20" s="2" t="s">
        <v>23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28</v>
      </c>
      <c r="V20" s="2" t="s">
        <v>29</v>
      </c>
      <c r="W20" s="2" t="s">
        <v>30</v>
      </c>
      <c r="X20" s="2" t="s">
        <v>31</v>
      </c>
      <c r="Y20" s="2" t="s">
        <v>32</v>
      </c>
      <c r="Z20" s="2" t="s">
        <v>33</v>
      </c>
      <c r="AA20" s="2" t="s">
        <v>34</v>
      </c>
      <c r="AB20" s="2" t="s">
        <v>35</v>
      </c>
      <c r="AC20" s="2" t="s">
        <v>36</v>
      </c>
      <c r="AD20" s="34"/>
      <c r="AF20" s="34"/>
      <c r="AG20" s="34"/>
      <c r="AI20" s="34"/>
      <c r="AK20" s="34"/>
      <c r="AM20" s="34"/>
      <c r="AN20" s="34"/>
      <c r="AO20" s="34"/>
      <c r="AP20" s="34"/>
      <c r="AQ20" s="34"/>
      <c r="AR20" s="34"/>
      <c r="AS20" s="34"/>
      <c r="AT20" s="34"/>
      <c r="AU20" s="34"/>
      <c r="AW20" s="34"/>
      <c r="AY20" s="34"/>
    </row>
    <row r="21" spans="2:52" ht="15">
      <c r="B21" s="32" t="s">
        <v>38</v>
      </c>
      <c r="C21" s="21">
        <v>1.4139599184782607</v>
      </c>
      <c r="D21" s="21">
        <v>5.5560142046121586</v>
      </c>
      <c r="E21" s="21">
        <v>3.1421331521739129</v>
      </c>
      <c r="F21" s="21">
        <v>0</v>
      </c>
      <c r="G21" s="21">
        <v>0</v>
      </c>
      <c r="H21" s="21">
        <v>2.374625</v>
      </c>
      <c r="I21" s="21">
        <v>0.22931619814469636</v>
      </c>
      <c r="J21" s="21">
        <v>0</v>
      </c>
      <c r="K21" s="21">
        <v>18.620048309178742</v>
      </c>
      <c r="L21" s="21">
        <v>63.677443505029899</v>
      </c>
      <c r="M21" s="21">
        <v>27.966971730072466</v>
      </c>
      <c r="N21" s="21">
        <v>36.391668455021417</v>
      </c>
      <c r="O21" s="21">
        <v>46.338284075536066</v>
      </c>
      <c r="P21" s="21">
        <v>82.892857068363142</v>
      </c>
      <c r="Q21" s="21">
        <v>129.84526659066967</v>
      </c>
      <c r="R21" s="18">
        <v>51.519236326357081</v>
      </c>
      <c r="S21" s="18">
        <v>190.29795686942799</v>
      </c>
      <c r="T21" s="18">
        <v>769.09406251708492</v>
      </c>
      <c r="U21" s="18">
        <v>372.90491591142182</v>
      </c>
      <c r="V21" s="18">
        <v>458.06335481313073</v>
      </c>
      <c r="W21" s="18">
        <v>513.41086445521569</v>
      </c>
      <c r="X21" s="18">
        <v>282.06463805857487</v>
      </c>
      <c r="Y21" s="18">
        <v>54.958845480466813</v>
      </c>
      <c r="Z21" s="18">
        <v>52.240544057971015</v>
      </c>
      <c r="AA21" s="18">
        <v>171.34696842067393</v>
      </c>
      <c r="AB21" s="18">
        <v>284.29888341437044</v>
      </c>
      <c r="AC21" s="18">
        <v>54.993868488315243</v>
      </c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2:52" ht="15">
      <c r="B22" s="31" t="s">
        <v>39</v>
      </c>
      <c r="C22" s="21">
        <v>6.3575827445652173</v>
      </c>
      <c r="D22" s="21">
        <v>0</v>
      </c>
      <c r="E22" s="21">
        <v>0</v>
      </c>
      <c r="F22" s="21">
        <v>5.9875092844202893</v>
      </c>
      <c r="G22" s="21">
        <v>1.9958364281400964</v>
      </c>
      <c r="H22" s="21">
        <v>0.27460162221668322</v>
      </c>
      <c r="I22" s="21">
        <v>0.23878401931885501</v>
      </c>
      <c r="J22" s="21">
        <v>2.4102779721467393</v>
      </c>
      <c r="K22" s="21">
        <v>0.16270010532917378</v>
      </c>
      <c r="L22" s="21">
        <v>4.6525391021286238</v>
      </c>
      <c r="M22" s="21">
        <v>0.61097033514492749</v>
      </c>
      <c r="N22" s="21">
        <v>0.61097033514492749</v>
      </c>
      <c r="O22" s="21">
        <v>1.8329110054347828</v>
      </c>
      <c r="P22" s="21">
        <v>2.44388134057971</v>
      </c>
      <c r="Q22" s="21">
        <v>0</v>
      </c>
      <c r="R22" s="18">
        <v>8.7080526392563939</v>
      </c>
      <c r="S22" s="18">
        <v>13.346646971240943</v>
      </c>
      <c r="T22" s="18">
        <v>5.2971128057065222</v>
      </c>
      <c r="U22" s="18">
        <v>19.268258740942027</v>
      </c>
      <c r="V22" s="18">
        <v>11.406816157155797</v>
      </c>
      <c r="W22" s="18">
        <v>33.162451507774762</v>
      </c>
      <c r="X22" s="18">
        <v>28.111763403910022</v>
      </c>
      <c r="Y22" s="18">
        <v>33.847756567028981</v>
      </c>
      <c r="Z22" s="18">
        <v>15.029870244565217</v>
      </c>
      <c r="AA22" s="18">
        <v>27.900978638285022</v>
      </c>
      <c r="AB22" s="18">
        <v>10.067772839296497</v>
      </c>
      <c r="AC22" s="18">
        <v>16.917768580163042</v>
      </c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2:52" ht="15">
      <c r="B23" s="30" t="s">
        <v>40</v>
      </c>
      <c r="C23" s="21">
        <v>39.332817500000004</v>
      </c>
      <c r="D23" s="21">
        <v>7.4621116453898697</v>
      </c>
      <c r="E23" s="21">
        <v>1703.0859859255568</v>
      </c>
      <c r="F23" s="21">
        <v>257.18688512148299</v>
      </c>
      <c r="G23" s="21">
        <v>1973.4844510308023</v>
      </c>
      <c r="H23" s="21">
        <v>8613.8744096148948</v>
      </c>
      <c r="I23" s="21">
        <v>4958.1749124822527</v>
      </c>
      <c r="J23" s="21">
        <v>1666.7306860339102</v>
      </c>
      <c r="K23" s="21">
        <v>531.11296061727455</v>
      </c>
      <c r="L23" s="21">
        <v>34.556495800598206</v>
      </c>
      <c r="M23" s="21">
        <v>97.271420114656024</v>
      </c>
      <c r="N23" s="21">
        <v>23.056929212362913</v>
      </c>
      <c r="O23" s="21">
        <v>39.105434012102798</v>
      </c>
      <c r="P23" s="21">
        <v>80.98517181320527</v>
      </c>
      <c r="Q23" s="21">
        <v>39.215286328976816</v>
      </c>
      <c r="R23" s="18">
        <v>82.695129788169723</v>
      </c>
      <c r="S23" s="18">
        <v>75.140476953400636</v>
      </c>
      <c r="T23" s="18">
        <v>256.23352838689573</v>
      </c>
      <c r="U23" s="18">
        <v>72.462172222766412</v>
      </c>
      <c r="V23" s="18">
        <v>111.295529430231</v>
      </c>
      <c r="W23" s="18">
        <v>0</v>
      </c>
      <c r="X23" s="18">
        <v>25.403055299319433</v>
      </c>
      <c r="Y23" s="18">
        <v>81.519316540853538</v>
      </c>
      <c r="Z23" s="18">
        <v>52.930867907655028</v>
      </c>
      <c r="AA23" s="18">
        <v>58.815386074385522</v>
      </c>
      <c r="AB23" s="18">
        <v>96.767703922309309</v>
      </c>
      <c r="AC23" s="18">
        <v>7.5210180720776076</v>
      </c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2:52" ht="15">
      <c r="B24" s="29" t="s">
        <v>41</v>
      </c>
      <c r="C24" s="21">
        <v>0</v>
      </c>
      <c r="D24" s="21">
        <v>0</v>
      </c>
      <c r="E24" s="21">
        <v>4.3231742273180461E-2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3.4585393818544377E-2</v>
      </c>
      <c r="O24" s="21">
        <v>0</v>
      </c>
      <c r="P24" s="21">
        <v>0</v>
      </c>
      <c r="Q24" s="21">
        <v>0</v>
      </c>
      <c r="R24" s="18">
        <v>1.1637530193236714</v>
      </c>
      <c r="S24" s="18">
        <v>0</v>
      </c>
      <c r="T24" s="18">
        <v>0</v>
      </c>
      <c r="U24" s="18">
        <v>8.6463484546360922E-2</v>
      </c>
      <c r="V24" s="18">
        <v>0</v>
      </c>
      <c r="W24" s="18">
        <v>1.8852798913043478</v>
      </c>
      <c r="X24" s="18">
        <v>0</v>
      </c>
      <c r="Y24" s="18">
        <v>0.31421331521739138</v>
      </c>
      <c r="Z24" s="18">
        <v>0.94263994565217391</v>
      </c>
      <c r="AA24" s="18">
        <v>0</v>
      </c>
      <c r="AB24" s="18">
        <v>0</v>
      </c>
      <c r="AC24" s="18">
        <v>0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2:52" ht="15">
      <c r="B25" s="28" t="s">
        <v>42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0.58187650966183557</v>
      </c>
      <c r="P25" s="24">
        <v>0</v>
      </c>
      <c r="Q25" s="24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2:52" ht="15">
      <c r="B26" s="27" t="s">
        <v>43</v>
      </c>
      <c r="C26" s="24">
        <v>188.28510656498557</v>
      </c>
      <c r="D26" s="24">
        <v>608.25942914252312</v>
      </c>
      <c r="E26" s="24">
        <v>842.73774186821333</v>
      </c>
      <c r="F26" s="24">
        <v>915.6472862227854</v>
      </c>
      <c r="G26" s="24">
        <v>1175.8341278094485</v>
      </c>
      <c r="H26" s="24">
        <v>34.050935056081755</v>
      </c>
      <c r="I26" s="24">
        <v>619.021008751463</v>
      </c>
      <c r="J26" s="24">
        <v>0</v>
      </c>
      <c r="K26" s="24">
        <v>40.659342346968742</v>
      </c>
      <c r="L26" s="24">
        <v>93.142103439026215</v>
      </c>
      <c r="M26" s="24">
        <v>43.180126863720425</v>
      </c>
      <c r="N26" s="24">
        <v>155.12726222083757</v>
      </c>
      <c r="O26" s="24">
        <v>5.6927536231884064</v>
      </c>
      <c r="P26" s="24">
        <v>67.105437950342818</v>
      </c>
      <c r="Q26" s="24">
        <v>8.3031639108409117</v>
      </c>
      <c r="R26" s="18">
        <v>6.1700467438264912</v>
      </c>
      <c r="S26" s="18">
        <v>6.8261615154536415</v>
      </c>
      <c r="T26" s="18">
        <v>5.5053093519441667</v>
      </c>
      <c r="U26" s="18">
        <v>0</v>
      </c>
      <c r="V26" s="18">
        <v>32.302194365881945</v>
      </c>
      <c r="W26" s="18">
        <v>25.999624875373879</v>
      </c>
      <c r="X26" s="18">
        <v>0</v>
      </c>
      <c r="Y26" s="18">
        <v>12.682426202145376</v>
      </c>
      <c r="Z26" s="18">
        <v>3.8428215353938184</v>
      </c>
      <c r="AA26" s="18">
        <v>8.4721626230682947</v>
      </c>
      <c r="AB26" s="18">
        <v>39.830629006729808</v>
      </c>
      <c r="AC26" s="18">
        <v>18.76566248739741</v>
      </c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2:52" ht="15">
      <c r="B27" s="26" t="s">
        <v>44</v>
      </c>
      <c r="C27" s="21">
        <v>0</v>
      </c>
      <c r="D27" s="21">
        <v>0</v>
      </c>
      <c r="E27" s="21">
        <v>6.7032173913043476</v>
      </c>
      <c r="F27" s="21">
        <v>0.64047025589896966</v>
      </c>
      <c r="G27" s="21">
        <v>6.7032173913043476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6.7032173913043476</v>
      </c>
      <c r="P27" s="21">
        <v>1.2809405117979393</v>
      </c>
      <c r="Q27" s="21">
        <v>0</v>
      </c>
      <c r="R27" s="18">
        <v>4.4688115942028981</v>
      </c>
      <c r="S27" s="18">
        <v>13.406434782608695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10.232301323083888</v>
      </c>
      <c r="AA27" s="18">
        <v>6.7032173913043476</v>
      </c>
      <c r="AB27" s="18">
        <v>0</v>
      </c>
      <c r="AC27" s="18">
        <v>0</v>
      </c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2:52" ht="15">
      <c r="B28" s="25" t="s">
        <v>45</v>
      </c>
      <c r="C28" s="24">
        <v>0</v>
      </c>
      <c r="D28" s="24">
        <v>1.6758043478260864</v>
      </c>
      <c r="E28" s="24">
        <v>2.3023630434782612</v>
      </c>
      <c r="F28" s="24">
        <v>0</v>
      </c>
      <c r="G28" s="24">
        <v>0.3636728185386473</v>
      </c>
      <c r="H28" s="24">
        <v>0</v>
      </c>
      <c r="I28" s="24">
        <v>0.87664693295566209</v>
      </c>
      <c r="J28" s="24">
        <v>0</v>
      </c>
      <c r="K28" s="24">
        <v>1.2178005911269625</v>
      </c>
      <c r="L28" s="24">
        <v>3.4108377943840584</v>
      </c>
      <c r="M28" s="24">
        <v>0</v>
      </c>
      <c r="N28" s="24">
        <v>2.3023630434782612</v>
      </c>
      <c r="O28" s="24">
        <v>1.0673913043478263</v>
      </c>
      <c r="P28" s="24">
        <v>9.978585439311594</v>
      </c>
      <c r="Q28" s="24">
        <v>13.23837995169082</v>
      </c>
      <c r="R28" s="18">
        <v>9.4609480978260869</v>
      </c>
      <c r="S28" s="18">
        <v>7.8068999999999997</v>
      </c>
      <c r="T28" s="18">
        <v>1.0673913043478263</v>
      </c>
      <c r="U28" s="18">
        <v>2.0014001994017945</v>
      </c>
      <c r="V28" s="18">
        <v>4.7723065217391314</v>
      </c>
      <c r="W28" s="18">
        <v>23.144201177536232</v>
      </c>
      <c r="X28" s="18">
        <v>38.328895048309178</v>
      </c>
      <c r="Y28" s="18">
        <v>3.3697543478260865</v>
      </c>
      <c r="Z28" s="18">
        <v>5.9561917270531408</v>
      </c>
      <c r="AA28" s="18">
        <v>35.957803864734302</v>
      </c>
      <c r="AB28" s="18">
        <v>8.8059782608695656</v>
      </c>
      <c r="AC28" s="18">
        <v>16.817817391304349</v>
      </c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2:52" ht="15">
      <c r="B29" s="23" t="s">
        <v>46</v>
      </c>
      <c r="C29" s="21">
        <v>0</v>
      </c>
      <c r="D29" s="21">
        <v>0</v>
      </c>
      <c r="E29" s="21">
        <v>404.70965213084702</v>
      </c>
      <c r="F29" s="21">
        <v>13.509919460368891</v>
      </c>
      <c r="G29" s="21">
        <v>188.2498138698337</v>
      </c>
      <c r="H29" s="21">
        <v>460.17282080177603</v>
      </c>
      <c r="I29" s="21">
        <v>1027.8716834152067</v>
      </c>
      <c r="J29" s="21">
        <v>218.04295716460601</v>
      </c>
      <c r="K29" s="21">
        <v>18.48915031752632</v>
      </c>
      <c r="L29" s="21">
        <v>83.529330186523779</v>
      </c>
      <c r="M29" s="21">
        <v>89.902422579690722</v>
      </c>
      <c r="N29" s="21">
        <v>78.053309498587595</v>
      </c>
      <c r="O29" s="21">
        <v>267.13113712248668</v>
      </c>
      <c r="P29" s="21">
        <v>121.65861953668544</v>
      </c>
      <c r="Q29" s="21">
        <v>23.612575282584782</v>
      </c>
      <c r="R29" s="18">
        <v>492.67507278511687</v>
      </c>
      <c r="S29" s="18">
        <v>241.00895729478236</v>
      </c>
      <c r="T29" s="18">
        <v>283.29583189968139</v>
      </c>
      <c r="U29" s="18">
        <v>51.878090727816549</v>
      </c>
      <c r="V29" s="18">
        <v>27.668315054835499</v>
      </c>
      <c r="W29" s="18">
        <v>40.990096377534059</v>
      </c>
      <c r="X29" s="18">
        <v>39.276664402173914</v>
      </c>
      <c r="Y29" s="18">
        <v>65.578729931506814</v>
      </c>
      <c r="Z29" s="18">
        <v>162.03146923162802</v>
      </c>
      <c r="AA29" s="18">
        <v>95.515130584808077</v>
      </c>
      <c r="AB29" s="18">
        <v>50.823276390775959</v>
      </c>
      <c r="AC29" s="18">
        <v>29.065271909353079</v>
      </c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2:52" ht="15">
      <c r="B30" s="22" t="s">
        <v>47</v>
      </c>
      <c r="C30" s="21">
        <v>0</v>
      </c>
      <c r="D30" s="21">
        <v>0</v>
      </c>
      <c r="E30" s="21">
        <v>0</v>
      </c>
      <c r="F30" s="21">
        <v>25.45709729770531</v>
      </c>
      <c r="G30" s="21">
        <v>0</v>
      </c>
      <c r="H30" s="21">
        <v>0</v>
      </c>
      <c r="I30" s="21">
        <v>42.428495496175515</v>
      </c>
      <c r="J30" s="21">
        <v>25.45709729770531</v>
      </c>
      <c r="K30" s="21">
        <v>0</v>
      </c>
      <c r="L30" s="21">
        <v>5.6041147391159862</v>
      </c>
      <c r="M30" s="21">
        <v>0</v>
      </c>
      <c r="N30" s="21">
        <v>0</v>
      </c>
      <c r="O30" s="21">
        <v>0</v>
      </c>
      <c r="P30" s="21">
        <v>0</v>
      </c>
      <c r="Q30" s="21">
        <v>3.3357825828071337</v>
      </c>
      <c r="R30" s="18">
        <v>0</v>
      </c>
      <c r="S30" s="18">
        <v>8.406172108673978</v>
      </c>
      <c r="T30" s="18">
        <v>10.507715135842473</v>
      </c>
      <c r="U30" s="18">
        <v>152.74258378623188</v>
      </c>
      <c r="V30" s="18">
        <v>0</v>
      </c>
      <c r="W30" s="18">
        <v>0</v>
      </c>
      <c r="X30" s="18">
        <v>0</v>
      </c>
      <c r="Y30" s="18">
        <v>0</v>
      </c>
      <c r="Z30" s="18">
        <v>10.507715135842473</v>
      </c>
      <c r="AA30" s="18">
        <v>10.507715135842473</v>
      </c>
      <c r="AB30" s="18">
        <v>3.5025717119474904</v>
      </c>
      <c r="AC30" s="18">
        <v>3.5025717119474904</v>
      </c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2:52" ht="15">
      <c r="B31" s="22" t="s">
        <v>48</v>
      </c>
      <c r="C31" s="21">
        <v>0.27506196021311063</v>
      </c>
      <c r="D31" s="21">
        <v>3.9653065769361406</v>
      </c>
      <c r="E31" s="21">
        <v>0.13834157527417748</v>
      </c>
      <c r="F31" s="21">
        <v>0</v>
      </c>
      <c r="G31" s="21">
        <v>0</v>
      </c>
      <c r="H31" s="21">
        <v>0.52976897510593213</v>
      </c>
      <c r="I31" s="21">
        <v>0.51102738828351912</v>
      </c>
      <c r="J31" s="21">
        <v>0.58456768851902163</v>
      </c>
      <c r="K31" s="21">
        <v>0.29032001103940219</v>
      </c>
      <c r="L31" s="21">
        <v>4.8434673318614134</v>
      </c>
      <c r="M31" s="21">
        <v>10.596189444633152</v>
      </c>
      <c r="N31" s="21">
        <v>30.699295507812501</v>
      </c>
      <c r="O31" s="21">
        <v>15.668770652173915</v>
      </c>
      <c r="P31" s="21">
        <v>21.387452989130438</v>
      </c>
      <c r="Q31" s="21">
        <v>13.301697010869564</v>
      </c>
      <c r="R31" s="18">
        <v>5.9312127321105068</v>
      </c>
      <c r="S31" s="18">
        <v>12.168892548403532</v>
      </c>
      <c r="T31" s="18">
        <v>8.9897738705842389</v>
      </c>
      <c r="U31" s="18">
        <v>7.2288700832201087</v>
      </c>
      <c r="V31" s="18">
        <v>0.70943289070289151</v>
      </c>
      <c r="W31" s="18">
        <v>9.552084782608695</v>
      </c>
      <c r="X31" s="18">
        <v>13.574015217391304</v>
      </c>
      <c r="Y31" s="18">
        <v>7.6668048913043467</v>
      </c>
      <c r="Z31" s="18">
        <v>15.90541255519701</v>
      </c>
      <c r="AA31" s="18">
        <v>12.123069773267662</v>
      </c>
      <c r="AB31" s="18">
        <v>4.3263245838994564</v>
      </c>
      <c r="AC31" s="18">
        <v>5.5962700662364124</v>
      </c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2:52">
      <c r="B32" s="20" t="s">
        <v>49</v>
      </c>
      <c r="C32" s="19">
        <v>5.8337233258557646</v>
      </c>
      <c r="D32" s="19">
        <v>185.50077658891908</v>
      </c>
      <c r="E32" s="19">
        <v>130.17450335899758</v>
      </c>
      <c r="F32" s="19">
        <v>96.866146316425116</v>
      </c>
      <c r="G32" s="19">
        <v>39.341252694746373</v>
      </c>
      <c r="H32" s="19">
        <v>0.15499380192755066</v>
      </c>
      <c r="I32" s="19">
        <v>0.48118808791018247</v>
      </c>
      <c r="J32" s="19">
        <v>0</v>
      </c>
      <c r="K32" s="19">
        <v>2.0109652173913042</v>
      </c>
      <c r="L32" s="19">
        <v>18.183640926932366</v>
      </c>
      <c r="M32" s="19">
        <v>0</v>
      </c>
      <c r="N32" s="19">
        <v>11.102785680857487</v>
      </c>
      <c r="O32" s="19">
        <v>0</v>
      </c>
      <c r="P32" s="19">
        <v>10.097303072161836</v>
      </c>
      <c r="Q32" s="19">
        <v>6.153925966183575</v>
      </c>
      <c r="R32" s="18">
        <v>6.7315353814412227</v>
      </c>
      <c r="S32" s="18">
        <v>0</v>
      </c>
      <c r="T32" s="18">
        <v>0</v>
      </c>
      <c r="U32" s="18">
        <v>84.80035501207729</v>
      </c>
      <c r="V32" s="18">
        <v>12.056295636640803</v>
      </c>
      <c r="W32" s="18">
        <v>0</v>
      </c>
      <c r="X32" s="18">
        <v>4.0219304347826084</v>
      </c>
      <c r="Y32" s="18">
        <v>0.3351608695652174</v>
      </c>
      <c r="Z32" s="18">
        <v>0</v>
      </c>
      <c r="AA32" s="18">
        <v>0</v>
      </c>
      <c r="AB32" s="18">
        <v>1.0054826086956521</v>
      </c>
      <c r="AC32" s="18">
        <v>2.0109652173913042</v>
      </c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2:52">
      <c r="B33" s="17" t="s">
        <v>50</v>
      </c>
      <c r="C33" s="16">
        <v>241.49825201409001</v>
      </c>
      <c r="D33" s="16">
        <v>812.41944250620634</v>
      </c>
      <c r="E33" s="16">
        <v>3093.0371701881195</v>
      </c>
      <c r="F33" s="16">
        <v>1315.2953139590868</v>
      </c>
      <c r="G33" s="16">
        <v>3385.9723720428142</v>
      </c>
      <c r="H33" s="16">
        <v>9111.4321548720018</v>
      </c>
      <c r="I33" s="16">
        <v>6649.8330627717123</v>
      </c>
      <c r="J33" s="16">
        <v>1913.2255861568872</v>
      </c>
      <c r="K33" s="16">
        <v>612.56328751583521</v>
      </c>
      <c r="L33" s="16">
        <v>311.5999728256005</v>
      </c>
      <c r="M33" s="16">
        <v>269.5281010679177</v>
      </c>
      <c r="N33" s="16">
        <v>337.37916934792122</v>
      </c>
      <c r="O33" s="16">
        <v>384.12177569623663</v>
      </c>
      <c r="P33" s="16">
        <v>397.83024972157818</v>
      </c>
      <c r="Q33" s="16">
        <v>237.00607762462326</v>
      </c>
      <c r="R33" s="15">
        <v>669.52379910763091</v>
      </c>
      <c r="S33" s="15">
        <v>568.40859904399179</v>
      </c>
      <c r="T33" s="15">
        <v>1339.9907252720875</v>
      </c>
      <c r="U33" s="15">
        <v>763.37311016842432</v>
      </c>
      <c r="V33" s="15">
        <v>658.27424487031783</v>
      </c>
      <c r="W33" s="15">
        <v>648.14460306734782</v>
      </c>
      <c r="X33" s="15">
        <v>430.78096186446135</v>
      </c>
      <c r="Y33" s="15">
        <v>260.27300814591456</v>
      </c>
      <c r="Z33" s="15">
        <v>329.61983366404183</v>
      </c>
      <c r="AA33" s="15">
        <v>427.34243250636962</v>
      </c>
      <c r="AB33" s="15">
        <v>499.42862273889415</v>
      </c>
      <c r="AC33" s="15">
        <v>155.19121392418594</v>
      </c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5C0F-523A-624B-8FE5-04C73E244D37}">
  <dimension ref="A1:I325"/>
  <sheetViews>
    <sheetView workbookViewId="0">
      <selection activeCell="B5" sqref="B5"/>
    </sheetView>
  </sheetViews>
  <sheetFormatPr defaultColWidth="11" defaultRowHeight="15.75"/>
  <cols>
    <col min="2" max="2" width="13.25" bestFit="1" customWidth="1"/>
    <col min="3" max="3" width="12.125" bestFit="1" customWidth="1"/>
    <col min="4" max="4" width="105.875" bestFit="1" customWidth="1"/>
    <col min="5" max="5" width="24.25" bestFit="1" customWidth="1"/>
    <col min="7" max="7" width="19.625" bestFit="1" customWidth="1"/>
    <col min="8" max="8" width="13.125" bestFit="1" customWidth="1"/>
  </cols>
  <sheetData>
    <row r="1" spans="1:9">
      <c r="A1" s="46" t="s">
        <v>52</v>
      </c>
      <c r="B1" s="46" t="s">
        <v>53</v>
      </c>
      <c r="C1" s="46" t="s">
        <v>54</v>
      </c>
      <c r="D1" s="46" t="s">
        <v>55</v>
      </c>
      <c r="E1" s="46" t="s">
        <v>56</v>
      </c>
      <c r="F1" s="46" t="s">
        <v>57</v>
      </c>
      <c r="G1" s="46" t="s">
        <v>58</v>
      </c>
      <c r="H1" s="46" t="s">
        <v>59</v>
      </c>
      <c r="I1" s="46" t="s">
        <v>60</v>
      </c>
    </row>
    <row r="2" spans="1:9">
      <c r="A2" t="s">
        <v>61</v>
      </c>
      <c r="B2" s="1" t="s">
        <v>10</v>
      </c>
      <c r="C2" t="s">
        <v>62</v>
      </c>
      <c r="D2" t="s">
        <v>63</v>
      </c>
      <c r="E2" t="s">
        <v>64</v>
      </c>
      <c r="G2">
        <v>26684.782608695652</v>
      </c>
      <c r="H2">
        <v>1.4139599184782607</v>
      </c>
      <c r="I2" t="s">
        <v>65</v>
      </c>
    </row>
    <row r="3" spans="1:9" ht="18.75">
      <c r="A3" t="s">
        <v>61</v>
      </c>
      <c r="B3" s="1" t="s">
        <v>10</v>
      </c>
      <c r="C3" t="s">
        <v>66</v>
      </c>
      <c r="D3" t="s">
        <v>67</v>
      </c>
      <c r="E3" t="s">
        <v>39</v>
      </c>
      <c r="G3">
        <v>53369.565217391304</v>
      </c>
      <c r="H3">
        <v>6.3575827445652173</v>
      </c>
      <c r="I3" t="s">
        <v>65</v>
      </c>
    </row>
    <row r="4" spans="1:9" ht="18.75">
      <c r="A4" t="s">
        <v>61</v>
      </c>
      <c r="B4" s="1" t="s">
        <v>10</v>
      </c>
      <c r="C4" t="s">
        <v>68</v>
      </c>
      <c r="D4" t="s">
        <v>69</v>
      </c>
      <c r="E4" t="s">
        <v>40</v>
      </c>
      <c r="G4">
        <v>5000</v>
      </c>
      <c r="H4">
        <v>39.332817500000004</v>
      </c>
      <c r="I4" t="s">
        <v>65</v>
      </c>
    </row>
    <row r="5" spans="1:9" ht="18.75">
      <c r="A5" t="s">
        <v>61</v>
      </c>
      <c r="B5" s="1" t="s">
        <v>10</v>
      </c>
      <c r="C5" t="s">
        <v>70</v>
      </c>
      <c r="D5" t="s">
        <v>71</v>
      </c>
      <c r="E5" t="s">
        <v>41</v>
      </c>
      <c r="G5">
        <v>0</v>
      </c>
      <c r="H5">
        <v>0</v>
      </c>
      <c r="I5" t="s">
        <v>65</v>
      </c>
    </row>
    <row r="6" spans="1:9" ht="18.75">
      <c r="A6" t="s">
        <v>61</v>
      </c>
      <c r="B6" s="1" t="s">
        <v>10</v>
      </c>
      <c r="C6" t="s">
        <v>70</v>
      </c>
      <c r="D6" t="s">
        <v>72</v>
      </c>
      <c r="E6" t="s">
        <v>42</v>
      </c>
      <c r="G6">
        <v>0</v>
      </c>
      <c r="H6">
        <v>0</v>
      </c>
      <c r="I6" t="s">
        <v>65</v>
      </c>
    </row>
    <row r="7" spans="1:9">
      <c r="A7" t="s">
        <v>61</v>
      </c>
      <c r="B7" s="1" t="s">
        <v>10</v>
      </c>
      <c r="C7" t="s">
        <v>73</v>
      </c>
      <c r="D7" t="s">
        <v>74</v>
      </c>
      <c r="E7" t="s">
        <v>43</v>
      </c>
      <c r="G7">
        <v>420138.46865201497</v>
      </c>
      <c r="H7">
        <v>188.28510656498557</v>
      </c>
      <c r="I7" t="s">
        <v>75</v>
      </c>
    </row>
    <row r="8" spans="1:9">
      <c r="A8" t="s">
        <v>61</v>
      </c>
      <c r="B8" s="1" t="s">
        <v>10</v>
      </c>
      <c r="C8" t="s">
        <v>76</v>
      </c>
      <c r="D8" t="s">
        <v>77</v>
      </c>
      <c r="E8" t="s">
        <v>44</v>
      </c>
      <c r="G8">
        <v>0</v>
      </c>
      <c r="H8">
        <v>0</v>
      </c>
      <c r="I8" t="s">
        <v>65</v>
      </c>
    </row>
    <row r="9" spans="1:9">
      <c r="A9" t="s">
        <v>61</v>
      </c>
      <c r="B9" s="1" t="s">
        <v>10</v>
      </c>
      <c r="C9" t="s">
        <v>78</v>
      </c>
      <c r="D9" t="s">
        <v>79</v>
      </c>
      <c r="E9" t="s">
        <v>45</v>
      </c>
      <c r="G9">
        <v>0</v>
      </c>
      <c r="H9">
        <v>0</v>
      </c>
      <c r="I9" t="s">
        <v>65</v>
      </c>
    </row>
    <row r="10" spans="1:9">
      <c r="A10" t="s">
        <v>61</v>
      </c>
      <c r="B10" s="1" t="s">
        <v>10</v>
      </c>
      <c r="D10" t="s">
        <v>80</v>
      </c>
      <c r="E10" t="s">
        <v>46</v>
      </c>
      <c r="G10">
        <v>0</v>
      </c>
      <c r="H10">
        <v>0</v>
      </c>
    </row>
    <row r="11" spans="1:9">
      <c r="A11" t="s">
        <v>61</v>
      </c>
      <c r="B11" s="1" t="s">
        <v>10</v>
      </c>
      <c r="D11" t="s">
        <v>80</v>
      </c>
      <c r="E11" t="s">
        <v>47</v>
      </c>
      <c r="G11">
        <v>0</v>
      </c>
      <c r="H11">
        <v>0</v>
      </c>
    </row>
    <row r="12" spans="1:9">
      <c r="A12" t="s">
        <v>61</v>
      </c>
      <c r="B12" s="1" t="s">
        <v>10</v>
      </c>
      <c r="D12" t="s">
        <v>81</v>
      </c>
      <c r="E12" t="s">
        <v>48</v>
      </c>
      <c r="G12">
        <v>25700.398803589233</v>
      </c>
      <c r="H12">
        <v>0.27506196021311063</v>
      </c>
    </row>
    <row r="13" spans="1:9">
      <c r="A13" t="s">
        <v>61</v>
      </c>
      <c r="B13" s="1" t="s">
        <v>10</v>
      </c>
      <c r="D13" t="s">
        <v>81</v>
      </c>
      <c r="E13" t="s">
        <v>49</v>
      </c>
      <c r="G13">
        <v>12238.2851445663</v>
      </c>
      <c r="H13">
        <v>5.8337233258557646</v>
      </c>
    </row>
    <row r="14" spans="1:9">
      <c r="A14" t="s">
        <v>61</v>
      </c>
      <c r="B14" t="s">
        <v>11</v>
      </c>
      <c r="C14" t="s">
        <v>62</v>
      </c>
      <c r="D14" t="s">
        <v>63</v>
      </c>
      <c r="E14" t="s">
        <v>64</v>
      </c>
      <c r="G14">
        <v>71607.270579565637</v>
      </c>
      <c r="H14">
        <v>5.5560142046121586</v>
      </c>
    </row>
    <row r="15" spans="1:9" ht="18.75">
      <c r="A15" t="s">
        <v>61</v>
      </c>
      <c r="B15" t="s">
        <v>11</v>
      </c>
      <c r="C15" t="s">
        <v>66</v>
      </c>
      <c r="D15" t="s">
        <v>67</v>
      </c>
      <c r="E15" t="s">
        <v>39</v>
      </c>
      <c r="G15">
        <v>0</v>
      </c>
      <c r="H15">
        <v>0</v>
      </c>
    </row>
    <row r="16" spans="1:9" ht="18.75">
      <c r="A16" t="s">
        <v>61</v>
      </c>
      <c r="B16" t="s">
        <v>11</v>
      </c>
      <c r="C16" t="s">
        <v>68</v>
      </c>
      <c r="D16" t="s">
        <v>69</v>
      </c>
      <c r="E16" t="s">
        <v>40</v>
      </c>
      <c r="G16">
        <v>22237.318840579708</v>
      </c>
      <c r="H16">
        <v>7.4621116453898697</v>
      </c>
    </row>
    <row r="17" spans="1:8" ht="18.75">
      <c r="A17" t="s">
        <v>61</v>
      </c>
      <c r="B17" t="s">
        <v>11</v>
      </c>
      <c r="C17" t="s">
        <v>70</v>
      </c>
      <c r="D17" t="s">
        <v>71</v>
      </c>
      <c r="E17" t="s">
        <v>41</v>
      </c>
      <c r="G17">
        <v>0</v>
      </c>
      <c r="H17">
        <v>0</v>
      </c>
    </row>
    <row r="18" spans="1:8" ht="18.75">
      <c r="A18" t="s">
        <v>61</v>
      </c>
      <c r="B18" t="s">
        <v>11</v>
      </c>
      <c r="C18" t="s">
        <v>70</v>
      </c>
      <c r="D18" t="s">
        <v>72</v>
      </c>
      <c r="E18" t="s">
        <v>42</v>
      </c>
      <c r="G18">
        <v>0</v>
      </c>
      <c r="H18">
        <v>0</v>
      </c>
    </row>
    <row r="19" spans="1:8">
      <c r="A19" t="s">
        <v>61</v>
      </c>
      <c r="B19" t="s">
        <v>11</v>
      </c>
      <c r="C19" t="s">
        <v>73</v>
      </c>
      <c r="D19" t="s">
        <v>74</v>
      </c>
      <c r="E19" t="s">
        <v>43</v>
      </c>
      <c r="G19">
        <v>2420586.4742728332</v>
      </c>
      <c r="H19">
        <v>608.25942914252312</v>
      </c>
    </row>
    <row r="20" spans="1:8">
      <c r="A20" t="s">
        <v>61</v>
      </c>
      <c r="B20" t="s">
        <v>11</v>
      </c>
      <c r="C20" t="s">
        <v>76</v>
      </c>
      <c r="D20" t="s">
        <v>77</v>
      </c>
      <c r="E20" t="s">
        <v>44</v>
      </c>
      <c r="G20">
        <v>0</v>
      </c>
      <c r="H20">
        <v>0</v>
      </c>
    </row>
    <row r="21" spans="1:8">
      <c r="A21" t="s">
        <v>61</v>
      </c>
      <c r="B21" t="s">
        <v>11</v>
      </c>
      <c r="C21" t="s">
        <v>78</v>
      </c>
      <c r="D21" t="s">
        <v>79</v>
      </c>
      <c r="E21" t="s">
        <v>45</v>
      </c>
      <c r="G21">
        <v>88949.275362318833</v>
      </c>
      <c r="H21">
        <v>1.6758043478260864</v>
      </c>
    </row>
    <row r="22" spans="1:8">
      <c r="A22" t="s">
        <v>61</v>
      </c>
      <c r="B22" t="s">
        <v>11</v>
      </c>
      <c r="D22" t="s">
        <v>80</v>
      </c>
      <c r="E22" t="s">
        <v>46</v>
      </c>
      <c r="G22">
        <v>0</v>
      </c>
      <c r="H22">
        <v>0</v>
      </c>
    </row>
    <row r="23" spans="1:8">
      <c r="A23" t="s">
        <v>61</v>
      </c>
      <c r="B23" t="s">
        <v>11</v>
      </c>
      <c r="D23" t="s">
        <v>80</v>
      </c>
      <c r="E23" t="s">
        <v>47</v>
      </c>
      <c r="G23">
        <v>0</v>
      </c>
      <c r="H23">
        <v>0</v>
      </c>
    </row>
    <row r="24" spans="1:8">
      <c r="A24" t="s">
        <v>61</v>
      </c>
      <c r="B24" t="s">
        <v>11</v>
      </c>
      <c r="D24" t="s">
        <v>81</v>
      </c>
      <c r="E24" t="s">
        <v>48</v>
      </c>
      <c r="G24">
        <v>311322.46376811591</v>
      </c>
      <c r="H24">
        <v>3.9653065769361406</v>
      </c>
    </row>
    <row r="25" spans="1:8">
      <c r="A25" t="s">
        <v>61</v>
      </c>
      <c r="B25" t="s">
        <v>11</v>
      </c>
      <c r="D25" t="s">
        <v>81</v>
      </c>
      <c r="E25" t="s">
        <v>49</v>
      </c>
      <c r="G25">
        <v>389153.0797101449</v>
      </c>
      <c r="H25">
        <v>185.50077658891908</v>
      </c>
    </row>
    <row r="26" spans="1:8">
      <c r="A26" t="s">
        <v>61</v>
      </c>
      <c r="B26" t="s">
        <v>12</v>
      </c>
      <c r="C26" t="s">
        <v>62</v>
      </c>
      <c r="D26" t="s">
        <v>63</v>
      </c>
      <c r="E26" t="s">
        <v>64</v>
      </c>
      <c r="G26">
        <v>35579.710144927536</v>
      </c>
      <c r="H26">
        <v>3.1421331521739129</v>
      </c>
    </row>
    <row r="27" spans="1:8" ht="18.75">
      <c r="A27" t="s">
        <v>61</v>
      </c>
      <c r="B27" t="s">
        <v>12</v>
      </c>
      <c r="C27" t="s">
        <v>66</v>
      </c>
      <c r="D27" t="s">
        <v>67</v>
      </c>
      <c r="E27" t="s">
        <v>39</v>
      </c>
      <c r="G27">
        <v>0</v>
      </c>
      <c r="H27">
        <v>0</v>
      </c>
    </row>
    <row r="28" spans="1:8" ht="18.75">
      <c r="A28" t="s">
        <v>61</v>
      </c>
      <c r="B28" t="s">
        <v>12</v>
      </c>
      <c r="C28" t="s">
        <v>68</v>
      </c>
      <c r="D28" t="s">
        <v>69</v>
      </c>
      <c r="E28" t="s">
        <v>40</v>
      </c>
      <c r="G28">
        <v>255780.15952143568</v>
      </c>
      <c r="H28">
        <v>1703.0859859255568</v>
      </c>
    </row>
    <row r="29" spans="1:8" ht="18.75">
      <c r="A29" t="s">
        <v>61</v>
      </c>
      <c r="B29" t="s">
        <v>12</v>
      </c>
      <c r="C29" t="s">
        <v>70</v>
      </c>
      <c r="D29" t="s">
        <v>71</v>
      </c>
      <c r="E29" t="s">
        <v>41</v>
      </c>
      <c r="G29">
        <v>1223.82851445663</v>
      </c>
      <c r="H29">
        <v>4.3231742273180461E-2</v>
      </c>
    </row>
    <row r="30" spans="1:8" ht="18.75">
      <c r="A30" t="s">
        <v>61</v>
      </c>
      <c r="B30" t="s">
        <v>12</v>
      </c>
      <c r="C30" t="s">
        <v>70</v>
      </c>
      <c r="D30" t="s">
        <v>72</v>
      </c>
      <c r="E30" t="s">
        <v>42</v>
      </c>
      <c r="G30">
        <v>0</v>
      </c>
      <c r="H30">
        <v>0</v>
      </c>
    </row>
    <row r="31" spans="1:8">
      <c r="A31" t="s">
        <v>61</v>
      </c>
      <c r="B31" t="s">
        <v>12</v>
      </c>
      <c r="C31" t="s">
        <v>73</v>
      </c>
      <c r="D31" t="s">
        <v>74</v>
      </c>
      <c r="E31" t="s">
        <v>43</v>
      </c>
      <c r="G31">
        <v>2435808.1884780438</v>
      </c>
      <c r="H31">
        <v>842.73774186821333</v>
      </c>
    </row>
    <row r="32" spans="1:8">
      <c r="A32" t="s">
        <v>61</v>
      </c>
      <c r="B32" t="s">
        <v>12</v>
      </c>
      <c r="C32" t="s">
        <v>76</v>
      </c>
      <c r="D32" t="s">
        <v>77</v>
      </c>
      <c r="E32" t="s">
        <v>44</v>
      </c>
      <c r="G32">
        <v>8894.927536231884</v>
      </c>
      <c r="H32">
        <v>6.7032173913043476</v>
      </c>
    </row>
    <row r="33" spans="1:8">
      <c r="A33" t="s">
        <v>61</v>
      </c>
      <c r="B33" t="s">
        <v>12</v>
      </c>
      <c r="C33" t="s">
        <v>78</v>
      </c>
      <c r="D33" t="s">
        <v>79</v>
      </c>
      <c r="E33" t="s">
        <v>45</v>
      </c>
      <c r="G33">
        <v>26684.782608695652</v>
      </c>
      <c r="H33">
        <v>2.3023630434782612</v>
      </c>
    </row>
    <row r="34" spans="1:8">
      <c r="A34" t="s">
        <v>61</v>
      </c>
      <c r="B34" t="s">
        <v>12</v>
      </c>
      <c r="D34" t="s">
        <v>80</v>
      </c>
      <c r="E34" t="s">
        <v>46</v>
      </c>
      <c r="G34">
        <v>25700.398803589233</v>
      </c>
      <c r="H34">
        <v>404.70965213084702</v>
      </c>
    </row>
    <row r="35" spans="1:8">
      <c r="A35" t="s">
        <v>61</v>
      </c>
      <c r="B35" t="s">
        <v>12</v>
      </c>
      <c r="D35" t="s">
        <v>80</v>
      </c>
      <c r="E35" t="s">
        <v>47</v>
      </c>
      <c r="G35">
        <v>0</v>
      </c>
      <c r="H35">
        <v>0</v>
      </c>
    </row>
    <row r="36" spans="1:8">
      <c r="A36" t="s">
        <v>61</v>
      </c>
      <c r="B36" t="s">
        <v>12</v>
      </c>
      <c r="D36" t="s">
        <v>81</v>
      </c>
      <c r="E36" t="s">
        <v>48</v>
      </c>
      <c r="G36">
        <v>7342.9710867397807</v>
      </c>
      <c r="H36">
        <v>0.13834157527417748</v>
      </c>
    </row>
    <row r="37" spans="1:8">
      <c r="A37" t="s">
        <v>61</v>
      </c>
      <c r="B37" t="s">
        <v>12</v>
      </c>
      <c r="D37" t="s">
        <v>81</v>
      </c>
      <c r="E37" t="s">
        <v>49</v>
      </c>
      <c r="G37">
        <v>367139.68601442053</v>
      </c>
      <c r="H37">
        <v>130.17450335899758</v>
      </c>
    </row>
    <row r="38" spans="1:8">
      <c r="A38" t="s">
        <v>61</v>
      </c>
      <c r="B38" t="s">
        <v>13</v>
      </c>
      <c r="C38" t="s">
        <v>62</v>
      </c>
      <c r="D38" t="s">
        <v>63</v>
      </c>
      <c r="E38" t="s">
        <v>64</v>
      </c>
      <c r="G38">
        <v>0</v>
      </c>
      <c r="H38">
        <v>0</v>
      </c>
    </row>
    <row r="39" spans="1:8" ht="18.75">
      <c r="A39" t="s">
        <v>61</v>
      </c>
      <c r="B39" t="s">
        <v>13</v>
      </c>
      <c r="C39" t="s">
        <v>66</v>
      </c>
      <c r="D39" t="s">
        <v>67</v>
      </c>
      <c r="E39" t="s">
        <v>39</v>
      </c>
      <c r="G39">
        <v>26684.782608695652</v>
      </c>
      <c r="H39">
        <v>5.9875092844202893</v>
      </c>
    </row>
    <row r="40" spans="1:8" ht="18.75">
      <c r="A40" t="s">
        <v>61</v>
      </c>
      <c r="B40" t="s">
        <v>13</v>
      </c>
      <c r="C40" t="s">
        <v>68</v>
      </c>
      <c r="D40" t="s">
        <v>69</v>
      </c>
      <c r="E40" t="s">
        <v>40</v>
      </c>
      <c r="G40">
        <v>48057.439998844049</v>
      </c>
      <c r="H40">
        <v>257.18688512148299</v>
      </c>
    </row>
    <row r="41" spans="1:8" ht="18.75">
      <c r="A41" t="s">
        <v>61</v>
      </c>
      <c r="B41" t="s">
        <v>13</v>
      </c>
      <c r="C41" t="s">
        <v>70</v>
      </c>
      <c r="D41" t="s">
        <v>71</v>
      </c>
      <c r="E41" t="s">
        <v>41</v>
      </c>
      <c r="G41">
        <v>0</v>
      </c>
      <c r="H41">
        <v>0</v>
      </c>
    </row>
    <row r="42" spans="1:8" ht="18.75">
      <c r="A42" t="s">
        <v>61</v>
      </c>
      <c r="B42" t="s">
        <v>13</v>
      </c>
      <c r="C42" t="s">
        <v>70</v>
      </c>
      <c r="D42" t="s">
        <v>72</v>
      </c>
      <c r="E42" t="s">
        <v>42</v>
      </c>
      <c r="G42">
        <v>0</v>
      </c>
      <c r="H42">
        <v>0</v>
      </c>
    </row>
    <row r="43" spans="1:8">
      <c r="A43" t="s">
        <v>61</v>
      </c>
      <c r="B43" t="s">
        <v>13</v>
      </c>
      <c r="C43" t="s">
        <v>73</v>
      </c>
      <c r="D43" t="s">
        <v>74</v>
      </c>
      <c r="E43" t="s">
        <v>43</v>
      </c>
      <c r="G43">
        <v>2772865.0013726931</v>
      </c>
      <c r="H43">
        <v>915.6472862227854</v>
      </c>
    </row>
    <row r="44" spans="1:8">
      <c r="A44" t="s">
        <v>61</v>
      </c>
      <c r="B44" t="s">
        <v>13</v>
      </c>
      <c r="C44" t="s">
        <v>76</v>
      </c>
      <c r="D44" t="s">
        <v>77</v>
      </c>
      <c r="E44" t="s">
        <v>44</v>
      </c>
      <c r="G44">
        <v>1223.82851445663</v>
      </c>
      <c r="H44">
        <v>0.64047025589896966</v>
      </c>
    </row>
    <row r="45" spans="1:8">
      <c r="A45" t="s">
        <v>61</v>
      </c>
      <c r="B45" t="s">
        <v>13</v>
      </c>
      <c r="C45" t="s">
        <v>78</v>
      </c>
      <c r="D45" t="s">
        <v>79</v>
      </c>
      <c r="E45" t="s">
        <v>45</v>
      </c>
      <c r="G45">
        <v>0</v>
      </c>
      <c r="H45">
        <v>0</v>
      </c>
    </row>
    <row r="46" spans="1:8">
      <c r="A46" t="s">
        <v>61</v>
      </c>
      <c r="B46" t="s">
        <v>13</v>
      </c>
      <c r="D46" t="s">
        <v>80</v>
      </c>
      <c r="E46" t="s">
        <v>46</v>
      </c>
      <c r="G46">
        <v>6119.14257228315</v>
      </c>
      <c r="H46">
        <v>13.509919460368891</v>
      </c>
    </row>
    <row r="47" spans="1:8">
      <c r="A47" t="s">
        <v>61</v>
      </c>
      <c r="B47" t="s">
        <v>13</v>
      </c>
      <c r="D47" t="s">
        <v>80</v>
      </c>
      <c r="E47" t="s">
        <v>47</v>
      </c>
      <c r="G47">
        <v>8894.927536231884</v>
      </c>
      <c r="H47">
        <v>25.45709729770531</v>
      </c>
    </row>
    <row r="48" spans="1:8">
      <c r="A48" t="s">
        <v>61</v>
      </c>
      <c r="B48" t="s">
        <v>13</v>
      </c>
      <c r="D48" t="s">
        <v>81</v>
      </c>
      <c r="E48" t="s">
        <v>48</v>
      </c>
      <c r="G48">
        <v>0</v>
      </c>
      <c r="H48">
        <v>0</v>
      </c>
    </row>
    <row r="49" spans="1:8">
      <c r="A49" t="s">
        <v>61</v>
      </c>
      <c r="B49" t="s">
        <v>13</v>
      </c>
      <c r="D49" t="s">
        <v>81</v>
      </c>
      <c r="E49" t="s">
        <v>49</v>
      </c>
      <c r="G49">
        <v>284637.68115942029</v>
      </c>
      <c r="H49">
        <v>96.866146316425116</v>
      </c>
    </row>
    <row r="50" spans="1:8">
      <c r="A50" t="s">
        <v>61</v>
      </c>
      <c r="B50" t="s">
        <v>14</v>
      </c>
      <c r="C50" t="s">
        <v>62</v>
      </c>
      <c r="D50" t="s">
        <v>63</v>
      </c>
      <c r="E50" t="s">
        <v>64</v>
      </c>
      <c r="G50">
        <v>0</v>
      </c>
      <c r="H50">
        <v>0</v>
      </c>
    </row>
    <row r="51" spans="1:8" ht="18.75">
      <c r="A51" t="s">
        <v>61</v>
      </c>
      <c r="B51" t="s">
        <v>14</v>
      </c>
      <c r="C51" t="s">
        <v>66</v>
      </c>
      <c r="D51" t="s">
        <v>67</v>
      </c>
      <c r="E51" t="s">
        <v>39</v>
      </c>
      <c r="G51">
        <v>8894.927536231884</v>
      </c>
      <c r="H51">
        <v>1.9958364281400964</v>
      </c>
    </row>
    <row r="52" spans="1:8" ht="18.75">
      <c r="A52" t="s">
        <v>61</v>
      </c>
      <c r="B52" t="s">
        <v>14</v>
      </c>
      <c r="C52" t="s">
        <v>68</v>
      </c>
      <c r="D52" t="s">
        <v>69</v>
      </c>
      <c r="E52" t="s">
        <v>40</v>
      </c>
      <c r="G52">
        <v>299598.54133252415</v>
      </c>
      <c r="H52">
        <v>1973.4844510308023</v>
      </c>
    </row>
    <row r="53" spans="1:8" ht="18.75">
      <c r="A53" t="s">
        <v>61</v>
      </c>
      <c r="B53" t="s">
        <v>14</v>
      </c>
      <c r="C53" t="s">
        <v>70</v>
      </c>
      <c r="D53" t="s">
        <v>71</v>
      </c>
      <c r="E53" t="s">
        <v>41</v>
      </c>
      <c r="G53">
        <v>0</v>
      </c>
      <c r="H53">
        <v>0</v>
      </c>
    </row>
    <row r="54" spans="1:8" ht="18.75">
      <c r="A54" t="s">
        <v>61</v>
      </c>
      <c r="B54" t="s">
        <v>14</v>
      </c>
      <c r="C54" t="s">
        <v>70</v>
      </c>
      <c r="D54" t="s">
        <v>72</v>
      </c>
      <c r="E54" t="s">
        <v>42</v>
      </c>
      <c r="G54">
        <v>0</v>
      </c>
      <c r="H54">
        <v>0</v>
      </c>
    </row>
    <row r="55" spans="1:8">
      <c r="A55" t="s">
        <v>61</v>
      </c>
      <c r="B55" t="s">
        <v>14</v>
      </c>
      <c r="C55" t="s">
        <v>73</v>
      </c>
      <c r="D55" t="s">
        <v>74</v>
      </c>
      <c r="E55" t="s">
        <v>43</v>
      </c>
      <c r="G55">
        <v>3384967.7778259427</v>
      </c>
      <c r="H55">
        <v>1175.8341278094485</v>
      </c>
    </row>
    <row r="56" spans="1:8">
      <c r="A56" t="s">
        <v>61</v>
      </c>
      <c r="B56" t="s">
        <v>14</v>
      </c>
      <c r="C56" t="s">
        <v>76</v>
      </c>
      <c r="D56" t="s">
        <v>77</v>
      </c>
      <c r="E56" t="s">
        <v>44</v>
      </c>
      <c r="G56">
        <v>8894.927536231884</v>
      </c>
      <c r="H56">
        <v>6.7032173913043476</v>
      </c>
    </row>
    <row r="57" spans="1:8">
      <c r="A57" t="s">
        <v>61</v>
      </c>
      <c r="B57" t="s">
        <v>14</v>
      </c>
      <c r="C57" t="s">
        <v>78</v>
      </c>
      <c r="D57" t="s">
        <v>79</v>
      </c>
      <c r="E57" t="s">
        <v>45</v>
      </c>
      <c r="G57">
        <v>8894.927536231884</v>
      </c>
      <c r="H57">
        <v>0.3636728185386473</v>
      </c>
    </row>
    <row r="58" spans="1:8">
      <c r="A58" t="s">
        <v>61</v>
      </c>
      <c r="B58" t="s">
        <v>14</v>
      </c>
      <c r="D58" t="s">
        <v>80</v>
      </c>
      <c r="E58" t="s">
        <v>46</v>
      </c>
      <c r="G58">
        <v>30028.140217030068</v>
      </c>
      <c r="H58">
        <v>188.2498138698337</v>
      </c>
    </row>
    <row r="59" spans="1:8">
      <c r="A59" t="s">
        <v>61</v>
      </c>
      <c r="B59" t="s">
        <v>14</v>
      </c>
      <c r="D59" t="s">
        <v>80</v>
      </c>
      <c r="E59" t="s">
        <v>47</v>
      </c>
      <c r="G59">
        <v>0</v>
      </c>
      <c r="H59">
        <v>0</v>
      </c>
    </row>
    <row r="60" spans="1:8">
      <c r="A60" t="s">
        <v>61</v>
      </c>
      <c r="B60" t="s">
        <v>14</v>
      </c>
      <c r="D60" t="s">
        <v>81</v>
      </c>
      <c r="E60" t="s">
        <v>48</v>
      </c>
      <c r="G60">
        <v>0</v>
      </c>
      <c r="H60">
        <v>0</v>
      </c>
    </row>
    <row r="61" spans="1:8">
      <c r="A61" t="s">
        <v>61</v>
      </c>
      <c r="B61" t="s">
        <v>14</v>
      </c>
      <c r="D61" t="s">
        <v>81</v>
      </c>
      <c r="E61" t="s">
        <v>49</v>
      </c>
      <c r="G61">
        <v>133423.91304347827</v>
      </c>
      <c r="H61">
        <v>39.341252694746373</v>
      </c>
    </row>
    <row r="62" spans="1:8">
      <c r="A62" t="s">
        <v>61</v>
      </c>
      <c r="B62" t="s">
        <v>15</v>
      </c>
      <c r="C62" t="s">
        <v>62</v>
      </c>
      <c r="D62" t="s">
        <v>63</v>
      </c>
      <c r="E62" t="s">
        <v>64</v>
      </c>
      <c r="G62">
        <v>250</v>
      </c>
      <c r="H62">
        <v>2.374625</v>
      </c>
    </row>
    <row r="63" spans="1:8" ht="18.75">
      <c r="A63" t="s">
        <v>61</v>
      </c>
      <c r="B63" t="s">
        <v>15</v>
      </c>
      <c r="C63" t="s">
        <v>66</v>
      </c>
      <c r="D63" t="s">
        <v>67</v>
      </c>
      <c r="E63" t="s">
        <v>39</v>
      </c>
      <c r="G63">
        <v>1223.82851445663</v>
      </c>
      <c r="H63">
        <v>0.27460162221668322</v>
      </c>
    </row>
    <row r="64" spans="1:8" ht="18.75">
      <c r="A64" t="s">
        <v>61</v>
      </c>
      <c r="B64" t="s">
        <v>15</v>
      </c>
      <c r="C64" t="s">
        <v>68</v>
      </c>
      <c r="D64" t="s">
        <v>69</v>
      </c>
      <c r="E64" t="s">
        <v>40</v>
      </c>
      <c r="G64">
        <v>1447097.4034418485</v>
      </c>
      <c r="H64">
        <v>8613.8744096148948</v>
      </c>
    </row>
    <row r="65" spans="1:8" ht="18.75">
      <c r="A65" t="s">
        <v>61</v>
      </c>
      <c r="B65" t="s">
        <v>15</v>
      </c>
      <c r="C65" t="s">
        <v>70</v>
      </c>
      <c r="D65" t="s">
        <v>71</v>
      </c>
      <c r="E65" t="s">
        <v>41</v>
      </c>
      <c r="G65">
        <v>0</v>
      </c>
      <c r="H65">
        <v>0</v>
      </c>
    </row>
    <row r="66" spans="1:8" ht="18.75">
      <c r="A66" t="s">
        <v>61</v>
      </c>
      <c r="B66" t="s">
        <v>15</v>
      </c>
      <c r="C66" t="s">
        <v>70</v>
      </c>
      <c r="D66" t="s">
        <v>72</v>
      </c>
      <c r="E66" t="s">
        <v>42</v>
      </c>
      <c r="G66">
        <v>0</v>
      </c>
      <c r="H66">
        <v>0</v>
      </c>
    </row>
    <row r="67" spans="1:8">
      <c r="A67" t="s">
        <v>61</v>
      </c>
      <c r="B67" t="s">
        <v>15</v>
      </c>
      <c r="C67" t="s">
        <v>73</v>
      </c>
      <c r="D67" t="s">
        <v>74</v>
      </c>
      <c r="E67" t="s">
        <v>43</v>
      </c>
      <c r="G67">
        <v>123606.67996011964</v>
      </c>
      <c r="H67">
        <v>34.050935056081755</v>
      </c>
    </row>
    <row r="68" spans="1:8">
      <c r="A68" t="s">
        <v>61</v>
      </c>
      <c r="B68" t="s">
        <v>15</v>
      </c>
      <c r="C68" t="s">
        <v>76</v>
      </c>
      <c r="D68" t="s">
        <v>77</v>
      </c>
      <c r="E68" t="s">
        <v>44</v>
      </c>
      <c r="G68">
        <v>0</v>
      </c>
      <c r="H68">
        <v>0</v>
      </c>
    </row>
    <row r="69" spans="1:8">
      <c r="A69" t="s">
        <v>61</v>
      </c>
      <c r="B69" t="s">
        <v>15</v>
      </c>
      <c r="C69" t="s">
        <v>78</v>
      </c>
      <c r="D69" t="s">
        <v>79</v>
      </c>
      <c r="E69" t="s">
        <v>45</v>
      </c>
      <c r="G69">
        <v>0</v>
      </c>
      <c r="H69">
        <v>0</v>
      </c>
    </row>
    <row r="70" spans="1:8">
      <c r="A70" t="s">
        <v>61</v>
      </c>
      <c r="B70" t="s">
        <v>15</v>
      </c>
      <c r="D70" t="s">
        <v>80</v>
      </c>
      <c r="E70" t="s">
        <v>46</v>
      </c>
      <c r="G70">
        <v>49369.951738985939</v>
      </c>
      <c r="H70">
        <v>460.17282080177603</v>
      </c>
    </row>
    <row r="71" spans="1:8">
      <c r="A71" t="s">
        <v>61</v>
      </c>
      <c r="B71" t="s">
        <v>15</v>
      </c>
      <c r="D71" t="s">
        <v>80</v>
      </c>
      <c r="E71" t="s">
        <v>47</v>
      </c>
      <c r="G71">
        <v>0</v>
      </c>
      <c r="H71">
        <v>0</v>
      </c>
    </row>
    <row r="72" spans="1:8">
      <c r="A72" t="s">
        <v>61</v>
      </c>
      <c r="B72" t="s">
        <v>15</v>
      </c>
      <c r="D72" t="s">
        <v>81</v>
      </c>
      <c r="E72" t="s">
        <v>48</v>
      </c>
      <c r="G72">
        <v>31819.541375872381</v>
      </c>
      <c r="H72">
        <v>0.52976897510593213</v>
      </c>
    </row>
    <row r="73" spans="1:8">
      <c r="A73" t="s">
        <v>61</v>
      </c>
      <c r="B73" t="s">
        <v>15</v>
      </c>
      <c r="D73" t="s">
        <v>81</v>
      </c>
      <c r="E73" t="s">
        <v>49</v>
      </c>
      <c r="G73">
        <v>1223.82851445663</v>
      </c>
      <c r="H73">
        <v>0.15499380192755066</v>
      </c>
    </row>
    <row r="74" spans="1:8">
      <c r="A74" t="s">
        <v>61</v>
      </c>
      <c r="B74" t="s">
        <v>16</v>
      </c>
      <c r="C74" t="s">
        <v>62</v>
      </c>
      <c r="D74" t="s">
        <v>63</v>
      </c>
      <c r="E74" t="s">
        <v>64</v>
      </c>
      <c r="G74">
        <v>3192.5961246694701</v>
      </c>
      <c r="H74">
        <v>0.22931619814469636</v>
      </c>
    </row>
    <row r="75" spans="1:8" ht="18.75">
      <c r="A75" t="s">
        <v>61</v>
      </c>
      <c r="B75" t="s">
        <v>16</v>
      </c>
      <c r="C75" t="s">
        <v>66</v>
      </c>
      <c r="D75" t="s">
        <v>67</v>
      </c>
      <c r="E75" t="s">
        <v>39</v>
      </c>
      <c r="G75">
        <v>1064.1987082231567</v>
      </c>
      <c r="H75">
        <v>0.23878401931885501</v>
      </c>
    </row>
    <row r="76" spans="1:8" ht="18.75">
      <c r="A76" t="s">
        <v>61</v>
      </c>
      <c r="B76" t="s">
        <v>16</v>
      </c>
      <c r="C76" t="s">
        <v>68</v>
      </c>
      <c r="D76" t="s">
        <v>69</v>
      </c>
      <c r="E76" t="s">
        <v>40</v>
      </c>
      <c r="G76">
        <v>656551.4808232307</v>
      </c>
      <c r="H76">
        <v>4958.1749124822527</v>
      </c>
    </row>
    <row r="77" spans="1:8" ht="18.75">
      <c r="A77" t="s">
        <v>61</v>
      </c>
      <c r="B77" t="s">
        <v>16</v>
      </c>
      <c r="C77" t="s">
        <v>70</v>
      </c>
      <c r="D77" t="s">
        <v>71</v>
      </c>
      <c r="E77" t="s">
        <v>41</v>
      </c>
      <c r="G77">
        <v>0</v>
      </c>
      <c r="H77">
        <v>0</v>
      </c>
    </row>
    <row r="78" spans="1:8" ht="18.75">
      <c r="A78" t="s">
        <v>61</v>
      </c>
      <c r="B78" t="s">
        <v>16</v>
      </c>
      <c r="C78" t="s">
        <v>70</v>
      </c>
      <c r="D78" t="s">
        <v>72</v>
      </c>
      <c r="E78" t="s">
        <v>42</v>
      </c>
      <c r="G78">
        <v>0</v>
      </c>
      <c r="H78">
        <v>0</v>
      </c>
    </row>
    <row r="79" spans="1:8">
      <c r="A79" t="s">
        <v>61</v>
      </c>
      <c r="B79" t="s">
        <v>16</v>
      </c>
      <c r="C79" t="s">
        <v>73</v>
      </c>
      <c r="D79" t="s">
        <v>74</v>
      </c>
      <c r="E79" t="s">
        <v>43</v>
      </c>
      <c r="G79">
        <v>140524.22948545669</v>
      </c>
      <c r="H79">
        <v>619.021008751463</v>
      </c>
    </row>
    <row r="80" spans="1:8">
      <c r="A80" t="s">
        <v>61</v>
      </c>
      <c r="B80" t="s">
        <v>16</v>
      </c>
      <c r="C80" t="s">
        <v>76</v>
      </c>
      <c r="D80" t="s">
        <v>77</v>
      </c>
      <c r="E80" t="s">
        <v>44</v>
      </c>
      <c r="G80">
        <v>0</v>
      </c>
      <c r="H80">
        <v>0</v>
      </c>
    </row>
    <row r="81" spans="1:8">
      <c r="A81" t="s">
        <v>61</v>
      </c>
      <c r="B81" t="s">
        <v>16</v>
      </c>
      <c r="C81" t="s">
        <v>78</v>
      </c>
      <c r="D81" t="s">
        <v>79</v>
      </c>
      <c r="E81" t="s">
        <v>45</v>
      </c>
      <c r="G81">
        <v>7449.3909575620974</v>
      </c>
      <c r="H81">
        <v>0.87664693295566209</v>
      </c>
    </row>
    <row r="82" spans="1:8">
      <c r="A82" t="s">
        <v>61</v>
      </c>
      <c r="B82" t="s">
        <v>16</v>
      </c>
      <c r="D82" t="s">
        <v>80</v>
      </c>
      <c r="E82" t="s">
        <v>46</v>
      </c>
      <c r="G82">
        <v>112250.79291112168</v>
      </c>
      <c r="H82">
        <v>1027.8716834152067</v>
      </c>
    </row>
    <row r="83" spans="1:8">
      <c r="A83" t="s">
        <v>61</v>
      </c>
      <c r="B83" t="s">
        <v>16</v>
      </c>
      <c r="D83" t="s">
        <v>80</v>
      </c>
      <c r="E83" t="s">
        <v>47</v>
      </c>
      <c r="G83">
        <v>14824.879227053138</v>
      </c>
      <c r="H83">
        <v>42.428495496175515</v>
      </c>
    </row>
    <row r="84" spans="1:8">
      <c r="A84" t="s">
        <v>61</v>
      </c>
      <c r="B84" t="s">
        <v>16</v>
      </c>
      <c r="D84" t="s">
        <v>81</v>
      </c>
      <c r="E84" t="s">
        <v>48</v>
      </c>
      <c r="G84">
        <v>28733.365122025232</v>
      </c>
      <c r="H84">
        <v>0.51102738828351912</v>
      </c>
    </row>
    <row r="85" spans="1:8">
      <c r="A85" t="s">
        <v>61</v>
      </c>
      <c r="B85" t="s">
        <v>16</v>
      </c>
      <c r="D85" t="s">
        <v>81</v>
      </c>
      <c r="E85" t="s">
        <v>49</v>
      </c>
      <c r="G85">
        <v>4256.7948328926268</v>
      </c>
      <c r="H85">
        <v>0.48118808791018247</v>
      </c>
    </row>
    <row r="86" spans="1:8">
      <c r="A86" t="s">
        <v>61</v>
      </c>
      <c r="B86" t="s">
        <v>17</v>
      </c>
      <c r="C86" t="s">
        <v>62</v>
      </c>
      <c r="D86" t="s">
        <v>63</v>
      </c>
      <c r="E86" t="s">
        <v>64</v>
      </c>
      <c r="G86">
        <v>0</v>
      </c>
      <c r="H86">
        <v>0</v>
      </c>
    </row>
    <row r="87" spans="1:8" ht="18.75">
      <c r="A87" t="s">
        <v>61</v>
      </c>
      <c r="B87" t="s">
        <v>17</v>
      </c>
      <c r="C87" t="s">
        <v>66</v>
      </c>
      <c r="D87" t="s">
        <v>67</v>
      </c>
      <c r="E87" t="s">
        <v>39</v>
      </c>
      <c r="G87">
        <v>35579.710144927536</v>
      </c>
      <c r="H87">
        <v>2.4102779721467393</v>
      </c>
    </row>
    <row r="88" spans="1:8" ht="18.75">
      <c r="A88" t="s">
        <v>61</v>
      </c>
      <c r="B88" t="s">
        <v>17</v>
      </c>
      <c r="C88" t="s">
        <v>68</v>
      </c>
      <c r="D88" t="s">
        <v>69</v>
      </c>
      <c r="E88" t="s">
        <v>40</v>
      </c>
      <c r="G88">
        <v>248932.04083401969</v>
      </c>
      <c r="H88">
        <v>1666.7306860339102</v>
      </c>
    </row>
    <row r="89" spans="1:8" ht="18.75">
      <c r="A89" t="s">
        <v>61</v>
      </c>
      <c r="B89" t="s">
        <v>17</v>
      </c>
      <c r="C89" t="s">
        <v>70</v>
      </c>
      <c r="D89" t="s">
        <v>71</v>
      </c>
      <c r="E89" t="s">
        <v>41</v>
      </c>
      <c r="G89">
        <v>0</v>
      </c>
      <c r="H89">
        <v>0</v>
      </c>
    </row>
    <row r="90" spans="1:8" ht="18.75">
      <c r="A90" t="s">
        <v>61</v>
      </c>
      <c r="B90" t="s">
        <v>17</v>
      </c>
      <c r="C90" t="s">
        <v>70</v>
      </c>
      <c r="D90" t="s">
        <v>72</v>
      </c>
      <c r="E90" t="s">
        <v>42</v>
      </c>
      <c r="G90">
        <v>0</v>
      </c>
      <c r="H90">
        <v>0</v>
      </c>
    </row>
    <row r="91" spans="1:8">
      <c r="A91" t="s">
        <v>61</v>
      </c>
      <c r="B91" t="s">
        <v>17</v>
      </c>
      <c r="C91" t="s">
        <v>73</v>
      </c>
      <c r="D91" t="s">
        <v>74</v>
      </c>
      <c r="E91" t="s">
        <v>43</v>
      </c>
      <c r="G91">
        <v>0</v>
      </c>
      <c r="H91">
        <v>0</v>
      </c>
    </row>
    <row r="92" spans="1:8">
      <c r="A92" t="s">
        <v>61</v>
      </c>
      <c r="B92" t="s">
        <v>17</v>
      </c>
      <c r="C92" t="s">
        <v>76</v>
      </c>
      <c r="D92" t="s">
        <v>77</v>
      </c>
      <c r="E92" t="s">
        <v>44</v>
      </c>
      <c r="G92">
        <v>0</v>
      </c>
      <c r="H92">
        <v>0</v>
      </c>
    </row>
    <row r="93" spans="1:8">
      <c r="A93" t="s">
        <v>61</v>
      </c>
      <c r="B93" t="s">
        <v>17</v>
      </c>
      <c r="C93" t="s">
        <v>78</v>
      </c>
      <c r="D93" t="s">
        <v>79</v>
      </c>
      <c r="E93" t="s">
        <v>45</v>
      </c>
      <c r="G93">
        <v>0</v>
      </c>
      <c r="H93">
        <v>0</v>
      </c>
    </row>
    <row r="94" spans="1:8">
      <c r="A94" t="s">
        <v>61</v>
      </c>
      <c r="B94" t="s">
        <v>17</v>
      </c>
      <c r="D94" t="s">
        <v>80</v>
      </c>
      <c r="E94" t="s">
        <v>46</v>
      </c>
      <c r="G94">
        <v>28559.545999682116</v>
      </c>
      <c r="H94">
        <v>218.04295716460601</v>
      </c>
    </row>
    <row r="95" spans="1:8">
      <c r="A95" t="s">
        <v>61</v>
      </c>
      <c r="B95" t="s">
        <v>17</v>
      </c>
      <c r="D95" t="s">
        <v>80</v>
      </c>
      <c r="E95" t="s">
        <v>47</v>
      </c>
      <c r="G95">
        <v>8894.927536231884</v>
      </c>
      <c r="H95">
        <v>25.45709729770531</v>
      </c>
    </row>
    <row r="96" spans="1:8">
      <c r="A96" t="s">
        <v>61</v>
      </c>
      <c r="B96" t="s">
        <v>17</v>
      </c>
      <c r="D96" t="s">
        <v>81</v>
      </c>
      <c r="E96" t="s">
        <v>48</v>
      </c>
      <c r="G96">
        <v>44474.637681159424</v>
      </c>
      <c r="H96">
        <v>0.58456768851902163</v>
      </c>
    </row>
    <row r="97" spans="1:8">
      <c r="A97" t="s">
        <v>61</v>
      </c>
      <c r="B97" t="s">
        <v>17</v>
      </c>
      <c r="D97" t="s">
        <v>81</v>
      </c>
      <c r="E97" t="s">
        <v>49</v>
      </c>
      <c r="G97">
        <v>0</v>
      </c>
      <c r="H97">
        <v>0</v>
      </c>
    </row>
    <row r="98" spans="1:8">
      <c r="A98" t="s">
        <v>61</v>
      </c>
      <c r="B98" t="s">
        <v>18</v>
      </c>
      <c r="C98" t="s">
        <v>62</v>
      </c>
      <c r="D98" t="s">
        <v>63</v>
      </c>
      <c r="E98" t="s">
        <v>64</v>
      </c>
      <c r="G98">
        <v>128976.44927536231</v>
      </c>
      <c r="H98">
        <v>18.620048309178742</v>
      </c>
    </row>
    <row r="99" spans="1:8" ht="18.75">
      <c r="A99" t="s">
        <v>61</v>
      </c>
      <c r="B99" t="s">
        <v>18</v>
      </c>
      <c r="C99" t="s">
        <v>66</v>
      </c>
      <c r="D99" t="s">
        <v>67</v>
      </c>
      <c r="E99" t="s">
        <v>39</v>
      </c>
      <c r="G99">
        <v>2368.7003505612197</v>
      </c>
      <c r="H99">
        <v>0.16270010532917378</v>
      </c>
    </row>
    <row r="100" spans="1:8" ht="18.75">
      <c r="A100" t="s">
        <v>61</v>
      </c>
      <c r="B100" t="s">
        <v>18</v>
      </c>
      <c r="C100" t="s">
        <v>68</v>
      </c>
      <c r="D100" t="s">
        <v>69</v>
      </c>
      <c r="E100" t="s">
        <v>40</v>
      </c>
      <c r="G100">
        <v>71061.010516836599</v>
      </c>
      <c r="H100">
        <v>531.11296061727455</v>
      </c>
    </row>
    <row r="101" spans="1:8" ht="18.75">
      <c r="A101" t="s">
        <v>61</v>
      </c>
      <c r="B101" t="s">
        <v>18</v>
      </c>
      <c r="C101" t="s">
        <v>70</v>
      </c>
      <c r="D101" t="s">
        <v>71</v>
      </c>
      <c r="E101" t="s">
        <v>41</v>
      </c>
      <c r="G101">
        <v>0</v>
      </c>
      <c r="H101">
        <v>0</v>
      </c>
    </row>
    <row r="102" spans="1:8" ht="18.75">
      <c r="A102" t="s">
        <v>61</v>
      </c>
      <c r="B102" t="s">
        <v>18</v>
      </c>
      <c r="C102" t="s">
        <v>70</v>
      </c>
      <c r="D102" t="s">
        <v>72</v>
      </c>
      <c r="E102" t="s">
        <v>42</v>
      </c>
      <c r="G102">
        <v>0</v>
      </c>
      <c r="H102">
        <v>0</v>
      </c>
    </row>
    <row r="103" spans="1:8">
      <c r="A103" t="s">
        <v>61</v>
      </c>
      <c r="B103" t="s">
        <v>18</v>
      </c>
      <c r="C103" t="s">
        <v>73</v>
      </c>
      <c r="D103" t="s">
        <v>74</v>
      </c>
      <c r="E103" t="s">
        <v>43</v>
      </c>
      <c r="G103">
        <v>47682.904815241047</v>
      </c>
      <c r="H103">
        <v>40.659342346968742</v>
      </c>
    </row>
    <row r="104" spans="1:8">
      <c r="A104" t="s">
        <v>61</v>
      </c>
      <c r="B104" t="s">
        <v>18</v>
      </c>
      <c r="C104" t="s">
        <v>76</v>
      </c>
      <c r="D104" t="s">
        <v>77</v>
      </c>
      <c r="E104" t="s">
        <v>44</v>
      </c>
      <c r="G104">
        <v>0</v>
      </c>
      <c r="H104">
        <v>0</v>
      </c>
    </row>
    <row r="105" spans="1:8">
      <c r="A105" t="s">
        <v>61</v>
      </c>
      <c r="B105" t="s">
        <v>18</v>
      </c>
      <c r="C105" t="s">
        <v>78</v>
      </c>
      <c r="D105" t="s">
        <v>79</v>
      </c>
      <c r="E105" t="s">
        <v>45</v>
      </c>
      <c r="G105">
        <v>35579.710144927536</v>
      </c>
      <c r="H105">
        <v>1.2178005911269625</v>
      </c>
    </row>
    <row r="106" spans="1:8">
      <c r="A106" t="s">
        <v>61</v>
      </c>
      <c r="B106" t="s">
        <v>18</v>
      </c>
      <c r="D106" t="s">
        <v>80</v>
      </c>
      <c r="E106" t="s">
        <v>46</v>
      </c>
      <c r="G106">
        <v>6032.6239324919115</v>
      </c>
      <c r="H106">
        <v>18.48915031752632</v>
      </c>
    </row>
    <row r="107" spans="1:8">
      <c r="A107" t="s">
        <v>61</v>
      </c>
      <c r="B107" t="s">
        <v>18</v>
      </c>
      <c r="D107" t="s">
        <v>80</v>
      </c>
      <c r="E107" t="s">
        <v>47</v>
      </c>
      <c r="G107">
        <v>0</v>
      </c>
      <c r="H107">
        <v>0</v>
      </c>
    </row>
    <row r="108" spans="1:8">
      <c r="A108" t="s">
        <v>61</v>
      </c>
      <c r="B108" t="s">
        <v>18</v>
      </c>
      <c r="D108" t="s">
        <v>81</v>
      </c>
      <c r="E108" t="s">
        <v>48</v>
      </c>
      <c r="G108">
        <v>35579.710144927536</v>
      </c>
      <c r="H108">
        <v>0.29032001103940219</v>
      </c>
    </row>
    <row r="109" spans="1:8">
      <c r="A109" t="s">
        <v>61</v>
      </c>
      <c r="B109" t="s">
        <v>18</v>
      </c>
      <c r="D109" t="s">
        <v>81</v>
      </c>
      <c r="E109" t="s">
        <v>49</v>
      </c>
      <c r="G109">
        <v>17789.855072463768</v>
      </c>
      <c r="H109">
        <v>2.0109652173913042</v>
      </c>
    </row>
    <row r="110" spans="1:8">
      <c r="A110" t="s">
        <v>61</v>
      </c>
      <c r="B110" t="s">
        <v>19</v>
      </c>
      <c r="C110" t="s">
        <v>62</v>
      </c>
      <c r="D110" t="s">
        <v>63</v>
      </c>
      <c r="E110" t="s">
        <v>64</v>
      </c>
      <c r="G110">
        <v>355335.68262603495</v>
      </c>
      <c r="H110">
        <v>63.677443505029899</v>
      </c>
    </row>
    <row r="111" spans="1:8" ht="18.75">
      <c r="A111" t="s">
        <v>61</v>
      </c>
      <c r="B111" t="s">
        <v>19</v>
      </c>
      <c r="C111" t="s">
        <v>66</v>
      </c>
      <c r="D111" t="s">
        <v>67</v>
      </c>
      <c r="E111" t="s">
        <v>39</v>
      </c>
      <c r="G111">
        <v>71159.420289855072</v>
      </c>
      <c r="H111">
        <v>4.6525391021286238</v>
      </c>
    </row>
    <row r="112" spans="1:8" ht="18.75">
      <c r="A112" t="s">
        <v>61</v>
      </c>
      <c r="B112" t="s">
        <v>19</v>
      </c>
      <c r="C112" t="s">
        <v>68</v>
      </c>
      <c r="D112" t="s">
        <v>69</v>
      </c>
      <c r="E112" t="s">
        <v>40</v>
      </c>
      <c r="G112">
        <v>7832.5024925224343</v>
      </c>
      <c r="H112">
        <v>34.556495800598206</v>
      </c>
    </row>
    <row r="113" spans="1:8" ht="18.75">
      <c r="A113" t="s">
        <v>61</v>
      </c>
      <c r="B113" t="s">
        <v>19</v>
      </c>
      <c r="C113" t="s">
        <v>70</v>
      </c>
      <c r="D113" t="s">
        <v>71</v>
      </c>
      <c r="E113" t="s">
        <v>41</v>
      </c>
      <c r="G113">
        <v>0</v>
      </c>
      <c r="H113">
        <v>0</v>
      </c>
    </row>
    <row r="114" spans="1:8" ht="18.75">
      <c r="A114" t="s">
        <v>61</v>
      </c>
      <c r="B114" t="s">
        <v>19</v>
      </c>
      <c r="C114" t="s">
        <v>70</v>
      </c>
      <c r="D114" t="s">
        <v>72</v>
      </c>
      <c r="E114" t="s">
        <v>42</v>
      </c>
      <c r="G114">
        <v>0</v>
      </c>
      <c r="H114">
        <v>0</v>
      </c>
    </row>
    <row r="115" spans="1:8">
      <c r="A115" t="s">
        <v>61</v>
      </c>
      <c r="B115" t="s">
        <v>19</v>
      </c>
      <c r="C115" t="s">
        <v>73</v>
      </c>
      <c r="D115" t="s">
        <v>74</v>
      </c>
      <c r="E115" t="s">
        <v>43</v>
      </c>
      <c r="G115">
        <v>169899.32376782695</v>
      </c>
      <c r="H115">
        <v>93.142103439026215</v>
      </c>
    </row>
    <row r="116" spans="1:8">
      <c r="A116" t="s">
        <v>61</v>
      </c>
      <c r="B116" t="s">
        <v>19</v>
      </c>
      <c r="C116" t="s">
        <v>76</v>
      </c>
      <c r="D116" t="s">
        <v>77</v>
      </c>
      <c r="E116" t="s">
        <v>44</v>
      </c>
      <c r="G116">
        <v>0</v>
      </c>
      <c r="H116">
        <v>0</v>
      </c>
    </row>
    <row r="117" spans="1:8">
      <c r="A117" t="s">
        <v>61</v>
      </c>
      <c r="B117" t="s">
        <v>19</v>
      </c>
      <c r="C117" t="s">
        <v>78</v>
      </c>
      <c r="D117" t="s">
        <v>79</v>
      </c>
      <c r="E117" t="s">
        <v>45</v>
      </c>
      <c r="G117">
        <v>44474.637681159424</v>
      </c>
      <c r="H117">
        <v>3.4108377943840584</v>
      </c>
    </row>
    <row r="118" spans="1:8">
      <c r="A118" t="s">
        <v>61</v>
      </c>
      <c r="B118" t="s">
        <v>19</v>
      </c>
      <c r="D118" t="s">
        <v>80</v>
      </c>
      <c r="E118" t="s">
        <v>46</v>
      </c>
      <c r="G118">
        <v>18602.193419740779</v>
      </c>
      <c r="H118">
        <v>83.529330186523779</v>
      </c>
    </row>
    <row r="119" spans="1:8">
      <c r="A119" t="s">
        <v>61</v>
      </c>
      <c r="B119" t="s">
        <v>19</v>
      </c>
      <c r="D119" t="s">
        <v>80</v>
      </c>
      <c r="E119" t="s">
        <v>47</v>
      </c>
      <c r="G119">
        <v>1958.1256231306086</v>
      </c>
      <c r="H119">
        <v>5.6041147391159862</v>
      </c>
    </row>
    <row r="120" spans="1:8">
      <c r="A120" t="s">
        <v>61</v>
      </c>
      <c r="B120" t="s">
        <v>19</v>
      </c>
      <c r="D120" t="s">
        <v>81</v>
      </c>
      <c r="E120" t="s">
        <v>48</v>
      </c>
      <c r="G120">
        <v>942862.31884057971</v>
      </c>
      <c r="H120">
        <v>4.8434673318614134</v>
      </c>
    </row>
    <row r="121" spans="1:8">
      <c r="A121" t="s">
        <v>61</v>
      </c>
      <c r="B121" t="s">
        <v>19</v>
      </c>
      <c r="D121" t="s">
        <v>81</v>
      </c>
      <c r="E121" t="s">
        <v>49</v>
      </c>
      <c r="G121">
        <v>17789.855072463768</v>
      </c>
      <c r="H121">
        <v>18.183640926932366</v>
      </c>
    </row>
    <row r="122" spans="1:8">
      <c r="A122" t="s">
        <v>61</v>
      </c>
      <c r="B122" t="s">
        <v>20</v>
      </c>
      <c r="C122" t="s">
        <v>62</v>
      </c>
      <c r="D122" t="s">
        <v>63</v>
      </c>
      <c r="E122" t="s">
        <v>64</v>
      </c>
      <c r="G122">
        <v>64233.478260869568</v>
      </c>
      <c r="H122">
        <v>27.966971730072466</v>
      </c>
    </row>
    <row r="123" spans="1:8" ht="18.75">
      <c r="A123" t="s">
        <v>61</v>
      </c>
      <c r="B123" t="s">
        <v>20</v>
      </c>
      <c r="C123" t="s">
        <v>66</v>
      </c>
      <c r="D123" t="s">
        <v>67</v>
      </c>
      <c r="E123" t="s">
        <v>39</v>
      </c>
      <c r="G123">
        <v>8894.927536231884</v>
      </c>
      <c r="H123">
        <v>0.61097033514492749</v>
      </c>
    </row>
    <row r="124" spans="1:8" ht="18.75">
      <c r="A124" t="s">
        <v>61</v>
      </c>
      <c r="B124" t="s">
        <v>20</v>
      </c>
      <c r="C124" t="s">
        <v>68</v>
      </c>
      <c r="D124" t="s">
        <v>69</v>
      </c>
      <c r="E124" t="s">
        <v>40</v>
      </c>
      <c r="G124">
        <v>4895.3140578265202</v>
      </c>
      <c r="H124">
        <v>97.271420114656024</v>
      </c>
    </row>
    <row r="125" spans="1:8" ht="18.75">
      <c r="A125" t="s">
        <v>61</v>
      </c>
      <c r="B125" t="s">
        <v>20</v>
      </c>
      <c r="C125" t="s">
        <v>70</v>
      </c>
      <c r="D125" t="s">
        <v>71</v>
      </c>
      <c r="E125" t="s">
        <v>41</v>
      </c>
      <c r="G125">
        <v>0</v>
      </c>
      <c r="H125">
        <v>0</v>
      </c>
    </row>
    <row r="126" spans="1:8" ht="18.75">
      <c r="A126" t="s">
        <v>61</v>
      </c>
      <c r="B126" t="s">
        <v>20</v>
      </c>
      <c r="C126" t="s">
        <v>70</v>
      </c>
      <c r="D126" t="s">
        <v>72</v>
      </c>
      <c r="E126" t="s">
        <v>42</v>
      </c>
      <c r="G126">
        <v>0</v>
      </c>
      <c r="H126">
        <v>0</v>
      </c>
    </row>
    <row r="127" spans="1:8">
      <c r="A127" t="s">
        <v>61</v>
      </c>
      <c r="B127" t="s">
        <v>20</v>
      </c>
      <c r="C127" t="s">
        <v>73</v>
      </c>
      <c r="D127" t="s">
        <v>74</v>
      </c>
      <c r="E127" t="s">
        <v>43</v>
      </c>
      <c r="G127">
        <v>146986.0267025012</v>
      </c>
      <c r="H127">
        <v>43.180126863720425</v>
      </c>
    </row>
    <row r="128" spans="1:8">
      <c r="A128" t="s">
        <v>61</v>
      </c>
      <c r="B128" t="s">
        <v>20</v>
      </c>
      <c r="C128" t="s">
        <v>76</v>
      </c>
      <c r="D128" t="s">
        <v>77</v>
      </c>
      <c r="E128" t="s">
        <v>44</v>
      </c>
      <c r="G128">
        <v>0</v>
      </c>
      <c r="H128">
        <v>0</v>
      </c>
    </row>
    <row r="129" spans="1:8">
      <c r="A129" t="s">
        <v>61</v>
      </c>
      <c r="B129" t="s">
        <v>20</v>
      </c>
      <c r="C129" t="s">
        <v>78</v>
      </c>
      <c r="D129" t="s">
        <v>79</v>
      </c>
      <c r="E129" t="s">
        <v>45</v>
      </c>
      <c r="G129">
        <v>0</v>
      </c>
      <c r="H129">
        <v>0</v>
      </c>
    </row>
    <row r="130" spans="1:8">
      <c r="A130" t="s">
        <v>61</v>
      </c>
      <c r="B130" t="s">
        <v>20</v>
      </c>
      <c r="D130" t="s">
        <v>80</v>
      </c>
      <c r="E130" t="s">
        <v>46</v>
      </c>
      <c r="G130">
        <v>24804.698224168074</v>
      </c>
      <c r="H130">
        <v>89.902422579690722</v>
      </c>
    </row>
    <row r="131" spans="1:8">
      <c r="A131" t="s">
        <v>61</v>
      </c>
      <c r="B131" t="s">
        <v>20</v>
      </c>
      <c r="D131" t="s">
        <v>80</v>
      </c>
      <c r="E131" t="s">
        <v>47</v>
      </c>
      <c r="G131">
        <v>0</v>
      </c>
      <c r="H131">
        <v>0</v>
      </c>
    </row>
    <row r="132" spans="1:8">
      <c r="A132" t="s">
        <v>61</v>
      </c>
      <c r="B132" t="s">
        <v>20</v>
      </c>
      <c r="D132" t="s">
        <v>81</v>
      </c>
      <c r="E132" t="s">
        <v>48</v>
      </c>
      <c r="G132">
        <v>871702.89855072461</v>
      </c>
      <c r="H132">
        <v>10.596189444633152</v>
      </c>
    </row>
    <row r="133" spans="1:8">
      <c r="A133" t="s">
        <v>61</v>
      </c>
      <c r="B133" t="s">
        <v>20</v>
      </c>
      <c r="D133" t="s">
        <v>81</v>
      </c>
      <c r="E133" t="s">
        <v>49</v>
      </c>
      <c r="G133">
        <v>0</v>
      </c>
      <c r="H133">
        <v>0</v>
      </c>
    </row>
    <row r="134" spans="1:8">
      <c r="A134" t="s">
        <v>61</v>
      </c>
      <c r="B134" t="s">
        <v>21</v>
      </c>
      <c r="C134" t="s">
        <v>62</v>
      </c>
      <c r="D134" t="s">
        <v>63</v>
      </c>
      <c r="E134" t="s">
        <v>64</v>
      </c>
      <c r="G134">
        <v>77748.22922536738</v>
      </c>
      <c r="H134">
        <v>36.391668455021417</v>
      </c>
    </row>
    <row r="135" spans="1:8" ht="18.75">
      <c r="A135" t="s">
        <v>61</v>
      </c>
      <c r="B135" t="s">
        <v>21</v>
      </c>
      <c r="C135" t="s">
        <v>66</v>
      </c>
      <c r="D135" t="s">
        <v>67</v>
      </c>
      <c r="E135" t="s">
        <v>39</v>
      </c>
      <c r="G135">
        <v>8894.927536231884</v>
      </c>
      <c r="H135">
        <v>0.61097033514492749</v>
      </c>
    </row>
    <row r="136" spans="1:8" ht="18.75">
      <c r="A136" t="s">
        <v>61</v>
      </c>
      <c r="B136" t="s">
        <v>21</v>
      </c>
      <c r="C136" t="s">
        <v>68</v>
      </c>
      <c r="D136" t="s">
        <v>69</v>
      </c>
      <c r="E136" t="s">
        <v>40</v>
      </c>
      <c r="G136">
        <v>979.06281156530429</v>
      </c>
      <c r="H136">
        <v>23.056929212362913</v>
      </c>
    </row>
    <row r="137" spans="1:8" ht="18.75">
      <c r="A137" t="s">
        <v>61</v>
      </c>
      <c r="B137" t="s">
        <v>21</v>
      </c>
      <c r="C137" t="s">
        <v>70</v>
      </c>
      <c r="D137" t="s">
        <v>71</v>
      </c>
      <c r="E137" t="s">
        <v>41</v>
      </c>
      <c r="G137">
        <v>979.06281156530429</v>
      </c>
      <c r="H137">
        <v>3.4585393818544377E-2</v>
      </c>
    </row>
    <row r="138" spans="1:8" ht="18.75">
      <c r="A138" t="s">
        <v>61</v>
      </c>
      <c r="B138" t="s">
        <v>21</v>
      </c>
      <c r="C138" t="s">
        <v>70</v>
      </c>
      <c r="D138" t="s">
        <v>72</v>
      </c>
      <c r="E138" t="s">
        <v>42</v>
      </c>
      <c r="G138">
        <v>0</v>
      </c>
      <c r="H138">
        <v>0</v>
      </c>
    </row>
    <row r="139" spans="1:8">
      <c r="A139" t="s">
        <v>61</v>
      </c>
      <c r="B139" t="s">
        <v>21</v>
      </c>
      <c r="C139" t="s">
        <v>73</v>
      </c>
      <c r="D139" t="s">
        <v>74</v>
      </c>
      <c r="E139" t="s">
        <v>43</v>
      </c>
      <c r="G139">
        <v>8911.5653040877387</v>
      </c>
      <c r="H139">
        <v>155.12726222083757</v>
      </c>
    </row>
    <row r="140" spans="1:8">
      <c r="A140" t="s">
        <v>61</v>
      </c>
      <c r="B140" t="s">
        <v>21</v>
      </c>
      <c r="C140" t="s">
        <v>76</v>
      </c>
      <c r="D140" t="s">
        <v>77</v>
      </c>
      <c r="E140" t="s">
        <v>44</v>
      </c>
      <c r="G140">
        <v>0</v>
      </c>
      <c r="H140">
        <v>0</v>
      </c>
    </row>
    <row r="141" spans="1:8">
      <c r="A141" t="s">
        <v>61</v>
      </c>
      <c r="B141" t="s">
        <v>21</v>
      </c>
      <c r="C141" t="s">
        <v>78</v>
      </c>
      <c r="D141" t="s">
        <v>79</v>
      </c>
      <c r="E141" t="s">
        <v>45</v>
      </c>
      <c r="G141">
        <v>26684.782608695652</v>
      </c>
      <c r="H141">
        <v>2.3023630434782612</v>
      </c>
    </row>
    <row r="142" spans="1:8">
      <c r="A142" t="s">
        <v>61</v>
      </c>
      <c r="B142" t="s">
        <v>21</v>
      </c>
      <c r="D142" t="s">
        <v>80</v>
      </c>
      <c r="E142" t="s">
        <v>46</v>
      </c>
      <c r="G142">
        <v>6853.4396809571299</v>
      </c>
      <c r="H142">
        <v>78.053309498587595</v>
      </c>
    </row>
    <row r="143" spans="1:8">
      <c r="A143" t="s">
        <v>61</v>
      </c>
      <c r="B143" t="s">
        <v>21</v>
      </c>
      <c r="D143" t="s">
        <v>80</v>
      </c>
      <c r="E143" t="s">
        <v>47</v>
      </c>
      <c r="G143">
        <v>0</v>
      </c>
      <c r="H143">
        <v>0</v>
      </c>
    </row>
    <row r="144" spans="1:8">
      <c r="A144" t="s">
        <v>61</v>
      </c>
      <c r="B144" t="s">
        <v>21</v>
      </c>
      <c r="D144" t="s">
        <v>81</v>
      </c>
      <c r="E144" t="s">
        <v>48</v>
      </c>
      <c r="G144">
        <v>1725615.9420289854</v>
      </c>
      <c r="H144">
        <v>30.699295507812501</v>
      </c>
    </row>
    <row r="145" spans="1:8">
      <c r="A145" t="s">
        <v>61</v>
      </c>
      <c r="B145" t="s">
        <v>21</v>
      </c>
      <c r="D145" t="s">
        <v>81</v>
      </c>
      <c r="E145" t="s">
        <v>49</v>
      </c>
      <c r="G145">
        <v>26684.782608695652</v>
      </c>
      <c r="H145">
        <v>11.102785680857487</v>
      </c>
    </row>
    <row r="146" spans="1:8">
      <c r="A146" t="s">
        <v>61</v>
      </c>
      <c r="B146" t="s">
        <v>22</v>
      </c>
      <c r="C146" t="s">
        <v>62</v>
      </c>
      <c r="D146" t="s">
        <v>63</v>
      </c>
      <c r="E146" t="s">
        <v>64</v>
      </c>
      <c r="G146">
        <v>123556.13052147903</v>
      </c>
      <c r="H146">
        <v>46.338284075536066</v>
      </c>
    </row>
    <row r="147" spans="1:8" ht="18.75">
      <c r="A147" t="s">
        <v>61</v>
      </c>
      <c r="B147" t="s">
        <v>22</v>
      </c>
      <c r="C147" t="s">
        <v>66</v>
      </c>
      <c r="D147" t="s">
        <v>67</v>
      </c>
      <c r="E147" t="s">
        <v>39</v>
      </c>
      <c r="G147">
        <v>26684.782608695652</v>
      </c>
      <c r="H147">
        <v>1.8329110054347828</v>
      </c>
    </row>
    <row r="148" spans="1:8" ht="18.75">
      <c r="A148" t="s">
        <v>61</v>
      </c>
      <c r="B148" t="s">
        <v>22</v>
      </c>
      <c r="C148" t="s">
        <v>68</v>
      </c>
      <c r="D148" t="s">
        <v>69</v>
      </c>
      <c r="E148" t="s">
        <v>40</v>
      </c>
      <c r="G148">
        <v>11342.584565145145</v>
      </c>
      <c r="H148">
        <v>39.105434012102798</v>
      </c>
    </row>
    <row r="149" spans="1:8" ht="18.75">
      <c r="A149" t="s">
        <v>61</v>
      </c>
      <c r="B149" t="s">
        <v>22</v>
      </c>
      <c r="C149" t="s">
        <v>70</v>
      </c>
      <c r="D149" t="s">
        <v>71</v>
      </c>
      <c r="E149" t="s">
        <v>41</v>
      </c>
      <c r="G149">
        <v>0</v>
      </c>
      <c r="H149">
        <v>0</v>
      </c>
    </row>
    <row r="150" spans="1:8" ht="18.75">
      <c r="A150" t="s">
        <v>61</v>
      </c>
      <c r="B150" t="s">
        <v>22</v>
      </c>
      <c r="C150" t="s">
        <v>70</v>
      </c>
      <c r="D150" t="s">
        <v>72</v>
      </c>
      <c r="E150" t="s">
        <v>42</v>
      </c>
      <c r="G150">
        <v>8894.927536231884</v>
      </c>
      <c r="H150">
        <v>0.58187650966183557</v>
      </c>
    </row>
    <row r="151" spans="1:8">
      <c r="A151" t="s">
        <v>61</v>
      </c>
      <c r="B151" t="s">
        <v>22</v>
      </c>
      <c r="C151" t="s">
        <v>73</v>
      </c>
      <c r="D151" t="s">
        <v>74</v>
      </c>
      <c r="E151" t="s">
        <v>43</v>
      </c>
      <c r="G151">
        <v>8894.927536231884</v>
      </c>
      <c r="H151">
        <v>5.6927536231884064</v>
      </c>
    </row>
    <row r="152" spans="1:8">
      <c r="A152" t="s">
        <v>61</v>
      </c>
      <c r="B152" t="s">
        <v>22</v>
      </c>
      <c r="C152" t="s">
        <v>76</v>
      </c>
      <c r="D152" t="s">
        <v>77</v>
      </c>
      <c r="E152" t="s">
        <v>44</v>
      </c>
      <c r="G152">
        <v>8894.927536231884</v>
      </c>
      <c r="H152">
        <v>6.7032173913043476</v>
      </c>
    </row>
    <row r="153" spans="1:8">
      <c r="A153" t="s">
        <v>61</v>
      </c>
      <c r="B153" t="s">
        <v>22</v>
      </c>
      <c r="C153" t="s">
        <v>78</v>
      </c>
      <c r="D153" t="s">
        <v>79</v>
      </c>
      <c r="E153" t="s">
        <v>45</v>
      </c>
      <c r="G153">
        <v>8894.927536231884</v>
      </c>
      <c r="H153">
        <v>1.0673913043478263</v>
      </c>
    </row>
    <row r="154" spans="1:8">
      <c r="A154" t="s">
        <v>61</v>
      </c>
      <c r="B154" t="s">
        <v>22</v>
      </c>
      <c r="D154" t="s">
        <v>80</v>
      </c>
      <c r="E154" t="s">
        <v>46</v>
      </c>
      <c r="G154">
        <v>20805.084745762713</v>
      </c>
      <c r="H154">
        <v>267.13113712248668</v>
      </c>
    </row>
    <row r="155" spans="1:8">
      <c r="A155" t="s">
        <v>61</v>
      </c>
      <c r="B155" t="s">
        <v>22</v>
      </c>
      <c r="D155" t="s">
        <v>80</v>
      </c>
      <c r="E155" t="s">
        <v>47</v>
      </c>
      <c r="G155">
        <v>0</v>
      </c>
      <c r="H155">
        <v>0</v>
      </c>
    </row>
    <row r="156" spans="1:8">
      <c r="A156" t="s">
        <v>61</v>
      </c>
      <c r="B156" t="s">
        <v>22</v>
      </c>
      <c r="D156" t="s">
        <v>81</v>
      </c>
      <c r="E156" t="s">
        <v>48</v>
      </c>
      <c r="G156">
        <v>747173.91304347827</v>
      </c>
      <c r="H156">
        <v>15.668770652173915</v>
      </c>
    </row>
    <row r="157" spans="1:8">
      <c r="A157" t="s">
        <v>61</v>
      </c>
      <c r="B157" t="s">
        <v>22</v>
      </c>
      <c r="D157" t="s">
        <v>81</v>
      </c>
      <c r="E157" t="s">
        <v>49</v>
      </c>
      <c r="G157">
        <v>0</v>
      </c>
      <c r="H157">
        <v>0</v>
      </c>
    </row>
    <row r="158" spans="1:8">
      <c r="A158" t="s">
        <v>61</v>
      </c>
      <c r="B158" t="s">
        <v>23</v>
      </c>
      <c r="C158" t="s">
        <v>62</v>
      </c>
      <c r="D158" t="s">
        <v>63</v>
      </c>
      <c r="E158" t="s">
        <v>64</v>
      </c>
      <c r="G158">
        <v>221992.73736760733</v>
      </c>
      <c r="H158">
        <v>82.892857068363142</v>
      </c>
    </row>
    <row r="159" spans="1:8" ht="18.75">
      <c r="A159" t="s">
        <v>61</v>
      </c>
      <c r="B159" t="s">
        <v>23</v>
      </c>
      <c r="C159" t="s">
        <v>66</v>
      </c>
      <c r="D159" t="s">
        <v>67</v>
      </c>
      <c r="E159" t="s">
        <v>39</v>
      </c>
      <c r="G159">
        <v>35579.710144927536</v>
      </c>
      <c r="H159">
        <v>2.44388134057971</v>
      </c>
    </row>
    <row r="160" spans="1:8" ht="18.75">
      <c r="A160" t="s">
        <v>61</v>
      </c>
      <c r="B160" t="s">
        <v>23</v>
      </c>
      <c r="C160" t="s">
        <v>68</v>
      </c>
      <c r="D160" t="s">
        <v>69</v>
      </c>
      <c r="E160" t="s">
        <v>40</v>
      </c>
      <c r="G160">
        <v>39251.195688297434</v>
      </c>
      <c r="H160">
        <v>80.98517181320527</v>
      </c>
    </row>
    <row r="161" spans="1:8" ht="18.75">
      <c r="A161" t="s">
        <v>61</v>
      </c>
      <c r="B161" t="s">
        <v>23</v>
      </c>
      <c r="C161" t="s">
        <v>70</v>
      </c>
      <c r="D161" t="s">
        <v>71</v>
      </c>
      <c r="E161" t="s">
        <v>41</v>
      </c>
      <c r="G161">
        <v>0</v>
      </c>
      <c r="H161">
        <v>0</v>
      </c>
    </row>
    <row r="162" spans="1:8" ht="18.75">
      <c r="A162" t="s">
        <v>61</v>
      </c>
      <c r="B162" t="s">
        <v>23</v>
      </c>
      <c r="C162" t="s">
        <v>70</v>
      </c>
      <c r="D162" t="s">
        <v>72</v>
      </c>
      <c r="E162" t="s">
        <v>42</v>
      </c>
      <c r="G162">
        <v>0</v>
      </c>
      <c r="H162">
        <v>0</v>
      </c>
    </row>
    <row r="163" spans="1:8">
      <c r="A163" t="s">
        <v>61</v>
      </c>
      <c r="B163" t="s">
        <v>23</v>
      </c>
      <c r="C163" t="s">
        <v>73</v>
      </c>
      <c r="D163" t="s">
        <v>74</v>
      </c>
      <c r="E163" t="s">
        <v>43</v>
      </c>
      <c r="G163">
        <v>90173.10387677548</v>
      </c>
      <c r="H163">
        <v>67.105437950342818</v>
      </c>
    </row>
    <row r="164" spans="1:8">
      <c r="A164" t="s">
        <v>61</v>
      </c>
      <c r="B164" t="s">
        <v>23</v>
      </c>
      <c r="C164" t="s">
        <v>76</v>
      </c>
      <c r="D164" t="s">
        <v>77</v>
      </c>
      <c r="E164" t="s">
        <v>44</v>
      </c>
      <c r="G164">
        <v>2447.6570289132601</v>
      </c>
      <c r="H164">
        <v>1.2809405117979393</v>
      </c>
    </row>
    <row r="165" spans="1:8">
      <c r="A165" t="s">
        <v>61</v>
      </c>
      <c r="B165" t="s">
        <v>23</v>
      </c>
      <c r="C165" t="s">
        <v>78</v>
      </c>
      <c r="D165" t="s">
        <v>79</v>
      </c>
      <c r="E165" t="s">
        <v>45</v>
      </c>
      <c r="G165">
        <v>106739.13043478262</v>
      </c>
      <c r="H165">
        <v>9.978585439311594</v>
      </c>
    </row>
    <row r="166" spans="1:8">
      <c r="A166" t="s">
        <v>61</v>
      </c>
      <c r="B166" t="s">
        <v>23</v>
      </c>
      <c r="D166" t="s">
        <v>80</v>
      </c>
      <c r="E166" t="s">
        <v>46</v>
      </c>
      <c r="G166">
        <v>54832.838441198139</v>
      </c>
      <c r="H166">
        <v>121.65861953668544</v>
      </c>
    </row>
    <row r="167" spans="1:8">
      <c r="A167" t="s">
        <v>61</v>
      </c>
      <c r="B167" t="s">
        <v>23</v>
      </c>
      <c r="D167" t="s">
        <v>80</v>
      </c>
      <c r="E167" t="s">
        <v>47</v>
      </c>
      <c r="G167">
        <v>0</v>
      </c>
      <c r="H167">
        <v>0</v>
      </c>
    </row>
    <row r="168" spans="1:8">
      <c r="A168" t="s">
        <v>61</v>
      </c>
      <c r="B168" t="s">
        <v>23</v>
      </c>
      <c r="D168" t="s">
        <v>81</v>
      </c>
      <c r="E168" t="s">
        <v>48</v>
      </c>
      <c r="G168">
        <v>480326.08695652173</v>
      </c>
      <c r="H168">
        <v>21.387452989130438</v>
      </c>
    </row>
    <row r="169" spans="1:8">
      <c r="A169" t="s">
        <v>61</v>
      </c>
      <c r="B169" t="s">
        <v>23</v>
      </c>
      <c r="D169" t="s">
        <v>81</v>
      </c>
      <c r="E169" t="s">
        <v>49</v>
      </c>
      <c r="G169">
        <v>17789.855072463768</v>
      </c>
      <c r="H169">
        <v>10.097303072161836</v>
      </c>
    </row>
    <row r="170" spans="1:8">
      <c r="A170" t="s">
        <v>61</v>
      </c>
      <c r="B170" t="s">
        <v>24</v>
      </c>
      <c r="C170" t="s">
        <v>62</v>
      </c>
      <c r="D170" t="s">
        <v>63</v>
      </c>
      <c r="E170" t="s">
        <v>64</v>
      </c>
      <c r="G170">
        <v>144880.51889879015</v>
      </c>
      <c r="H170">
        <v>129.84526659066967</v>
      </c>
    </row>
    <row r="171" spans="1:8" ht="18.75">
      <c r="A171" t="s">
        <v>61</v>
      </c>
      <c r="B171" t="s">
        <v>24</v>
      </c>
      <c r="C171" t="s">
        <v>66</v>
      </c>
      <c r="D171" t="s">
        <v>67</v>
      </c>
      <c r="E171" t="s">
        <v>39</v>
      </c>
      <c r="G171">
        <v>0</v>
      </c>
      <c r="H171">
        <v>0</v>
      </c>
    </row>
    <row r="172" spans="1:8" ht="18.75">
      <c r="A172" t="s">
        <v>61</v>
      </c>
      <c r="B172" t="s">
        <v>24</v>
      </c>
      <c r="C172" t="s">
        <v>68</v>
      </c>
      <c r="D172" t="s">
        <v>69</v>
      </c>
      <c r="E172" t="s">
        <v>40</v>
      </c>
      <c r="G172">
        <v>12391.580434679396</v>
      </c>
      <c r="H172">
        <v>39.215286328976816</v>
      </c>
    </row>
    <row r="173" spans="1:8" ht="18.75">
      <c r="A173" t="s">
        <v>61</v>
      </c>
      <c r="B173" t="s">
        <v>24</v>
      </c>
      <c r="C173" t="s">
        <v>70</v>
      </c>
      <c r="D173" t="s">
        <v>71</v>
      </c>
      <c r="E173" t="s">
        <v>41</v>
      </c>
      <c r="G173">
        <v>0</v>
      </c>
      <c r="H173">
        <v>0</v>
      </c>
    </row>
    <row r="174" spans="1:8" ht="18.75">
      <c r="A174" t="s">
        <v>61</v>
      </c>
      <c r="B174" t="s">
        <v>24</v>
      </c>
      <c r="C174" t="s">
        <v>70</v>
      </c>
      <c r="D174" t="s">
        <v>72</v>
      </c>
      <c r="E174" t="s">
        <v>42</v>
      </c>
      <c r="G174">
        <v>0</v>
      </c>
      <c r="H174">
        <v>0</v>
      </c>
    </row>
    <row r="175" spans="1:8">
      <c r="A175" t="s">
        <v>61</v>
      </c>
      <c r="B175" t="s">
        <v>24</v>
      </c>
      <c r="C175" t="s">
        <v>73</v>
      </c>
      <c r="D175" t="s">
        <v>74</v>
      </c>
      <c r="E175" t="s">
        <v>43</v>
      </c>
      <c r="G175">
        <v>13557.13140082857</v>
      </c>
      <c r="H175">
        <v>8.3031639108409117</v>
      </c>
    </row>
    <row r="176" spans="1:8">
      <c r="A176" t="s">
        <v>61</v>
      </c>
      <c r="B176" t="s">
        <v>24</v>
      </c>
      <c r="C176" t="s">
        <v>76</v>
      </c>
      <c r="D176" t="s">
        <v>77</v>
      </c>
      <c r="E176" t="s">
        <v>44</v>
      </c>
      <c r="G176">
        <v>0</v>
      </c>
      <c r="H176">
        <v>0</v>
      </c>
    </row>
    <row r="177" spans="1:8">
      <c r="A177" t="s">
        <v>61</v>
      </c>
      <c r="B177" t="s">
        <v>24</v>
      </c>
      <c r="C177" t="s">
        <v>78</v>
      </c>
      <c r="D177" t="s">
        <v>79</v>
      </c>
      <c r="E177" t="s">
        <v>45</v>
      </c>
      <c r="G177">
        <v>62264.492753623184</v>
      </c>
      <c r="H177">
        <v>13.23837995169082</v>
      </c>
    </row>
    <row r="178" spans="1:8">
      <c r="A178" t="s">
        <v>61</v>
      </c>
      <c r="B178" t="s">
        <v>24</v>
      </c>
      <c r="D178" t="s">
        <v>80</v>
      </c>
      <c r="E178" t="s">
        <v>46</v>
      </c>
      <c r="G178">
        <v>9324.4077291933718</v>
      </c>
      <c r="H178">
        <v>23.612575282584782</v>
      </c>
    </row>
    <row r="179" spans="1:8">
      <c r="A179" t="s">
        <v>61</v>
      </c>
      <c r="B179" t="s">
        <v>24</v>
      </c>
      <c r="D179" t="s">
        <v>80</v>
      </c>
      <c r="E179" t="s">
        <v>47</v>
      </c>
      <c r="G179">
        <v>1165.5509661491715</v>
      </c>
      <c r="H179">
        <v>3.3357825828071337</v>
      </c>
    </row>
    <row r="180" spans="1:8">
      <c r="A180" t="s">
        <v>61</v>
      </c>
      <c r="B180" t="s">
        <v>24</v>
      </c>
      <c r="D180" t="s">
        <v>81</v>
      </c>
      <c r="E180" t="s">
        <v>48</v>
      </c>
      <c r="G180">
        <v>515905.79710144928</v>
      </c>
      <c r="H180">
        <v>13.301697010869564</v>
      </c>
    </row>
    <row r="181" spans="1:8">
      <c r="A181" t="s">
        <v>61</v>
      </c>
      <c r="B181" t="s">
        <v>24</v>
      </c>
      <c r="D181" t="s">
        <v>81</v>
      </c>
      <c r="E181" t="s">
        <v>49</v>
      </c>
      <c r="G181">
        <v>53369.565217391311</v>
      </c>
      <c r="H181">
        <v>6.153925966183575</v>
      </c>
    </row>
    <row r="182" spans="1:8">
      <c r="A182" t="s">
        <v>61</v>
      </c>
      <c r="B182" t="s">
        <v>25</v>
      </c>
      <c r="C182" t="s">
        <v>62</v>
      </c>
      <c r="D182" t="s">
        <v>63</v>
      </c>
      <c r="E182" t="s">
        <v>64</v>
      </c>
      <c r="G182">
        <v>76773.659697236784</v>
      </c>
      <c r="H182">
        <v>51.519236326357081</v>
      </c>
    </row>
    <row r="183" spans="1:8" ht="18.75">
      <c r="A183" t="s">
        <v>61</v>
      </c>
      <c r="B183" t="s">
        <v>25</v>
      </c>
      <c r="C183" t="s">
        <v>66</v>
      </c>
      <c r="D183" t="s">
        <v>67</v>
      </c>
      <c r="E183" t="s">
        <v>39</v>
      </c>
      <c r="G183">
        <v>48255.499202874467</v>
      </c>
      <c r="H183">
        <v>8.7080526392563939</v>
      </c>
    </row>
    <row r="184" spans="1:8" ht="18.75">
      <c r="A184" t="s">
        <v>61</v>
      </c>
      <c r="B184" t="s">
        <v>25</v>
      </c>
      <c r="C184" t="s">
        <v>68</v>
      </c>
      <c r="D184" t="s">
        <v>69</v>
      </c>
      <c r="E184" t="s">
        <v>40</v>
      </c>
      <c r="G184">
        <v>44773.204540966472</v>
      </c>
      <c r="H184">
        <v>82.695129788169723</v>
      </c>
    </row>
    <row r="185" spans="1:8" ht="18.75">
      <c r="A185" t="s">
        <v>61</v>
      </c>
      <c r="B185" t="s">
        <v>25</v>
      </c>
      <c r="C185" t="s">
        <v>70</v>
      </c>
      <c r="D185" t="s">
        <v>71</v>
      </c>
      <c r="E185" t="s">
        <v>41</v>
      </c>
      <c r="G185">
        <v>17789.855072463768</v>
      </c>
      <c r="H185">
        <v>1.1637530193236714</v>
      </c>
    </row>
    <row r="186" spans="1:8" ht="18.75">
      <c r="A186" t="s">
        <v>61</v>
      </c>
      <c r="B186" t="s">
        <v>25</v>
      </c>
      <c r="C186" t="s">
        <v>70</v>
      </c>
      <c r="D186" t="s">
        <v>72</v>
      </c>
      <c r="E186" t="s">
        <v>42</v>
      </c>
      <c r="G186">
        <v>0</v>
      </c>
      <c r="H186">
        <v>0</v>
      </c>
    </row>
    <row r="187" spans="1:8">
      <c r="A187" t="s">
        <v>61</v>
      </c>
      <c r="B187" t="s">
        <v>25</v>
      </c>
      <c r="C187" t="s">
        <v>73</v>
      </c>
      <c r="D187" t="s">
        <v>74</v>
      </c>
      <c r="E187" t="s">
        <v>43</v>
      </c>
      <c r="G187">
        <v>6745.8373671256759</v>
      </c>
      <c r="H187">
        <v>6.1700467438264912</v>
      </c>
    </row>
    <row r="188" spans="1:8">
      <c r="A188" t="s">
        <v>61</v>
      </c>
      <c r="B188" t="s">
        <v>25</v>
      </c>
      <c r="C188" t="s">
        <v>76</v>
      </c>
      <c r="D188" t="s">
        <v>77</v>
      </c>
      <c r="E188" t="s">
        <v>44</v>
      </c>
      <c r="G188">
        <v>5929.9516908212554</v>
      </c>
      <c r="H188">
        <v>4.4688115942028981</v>
      </c>
    </row>
    <row r="189" spans="1:8">
      <c r="A189" t="s">
        <v>61</v>
      </c>
      <c r="B189" t="s">
        <v>25</v>
      </c>
      <c r="C189" t="s">
        <v>78</v>
      </c>
      <c r="D189" t="s">
        <v>79</v>
      </c>
      <c r="E189" t="s">
        <v>45</v>
      </c>
      <c r="G189">
        <v>65979.468599033804</v>
      </c>
      <c r="H189">
        <v>9.4609480978260869</v>
      </c>
    </row>
    <row r="190" spans="1:8">
      <c r="A190" t="s">
        <v>61</v>
      </c>
      <c r="B190" t="s">
        <v>25</v>
      </c>
      <c r="D190" t="s">
        <v>80</v>
      </c>
      <c r="E190" t="s">
        <v>46</v>
      </c>
      <c r="G190">
        <v>31819.541375872388</v>
      </c>
      <c r="H190">
        <v>492.67507278511687</v>
      </c>
    </row>
    <row r="191" spans="1:8">
      <c r="A191" t="s">
        <v>61</v>
      </c>
      <c r="B191" t="s">
        <v>25</v>
      </c>
      <c r="D191" t="s">
        <v>80</v>
      </c>
      <c r="E191" t="s">
        <v>47</v>
      </c>
      <c r="G191">
        <v>0</v>
      </c>
      <c r="H191">
        <v>0</v>
      </c>
    </row>
    <row r="192" spans="1:8">
      <c r="A192" t="s">
        <v>61</v>
      </c>
      <c r="B192" t="s">
        <v>25</v>
      </c>
      <c r="D192" t="s">
        <v>81</v>
      </c>
      <c r="E192" t="s">
        <v>48</v>
      </c>
      <c r="G192">
        <v>628574.87922705314</v>
      </c>
      <c r="H192">
        <v>5.9312127321105068</v>
      </c>
    </row>
    <row r="193" spans="1:8">
      <c r="A193" t="s">
        <v>61</v>
      </c>
      <c r="B193" t="s">
        <v>25</v>
      </c>
      <c r="D193" t="s">
        <v>81</v>
      </c>
      <c r="E193" t="s">
        <v>49</v>
      </c>
      <c r="G193">
        <v>17789.855072463768</v>
      </c>
      <c r="H193">
        <v>6.7315353814412227</v>
      </c>
    </row>
    <row r="194" spans="1:8">
      <c r="A194" t="s">
        <v>61</v>
      </c>
      <c r="B194" t="s">
        <v>26</v>
      </c>
      <c r="C194" t="s">
        <v>62</v>
      </c>
      <c r="D194" t="s">
        <v>63</v>
      </c>
      <c r="E194" t="s">
        <v>64</v>
      </c>
      <c r="G194">
        <v>564673.30833586212</v>
      </c>
      <c r="H194">
        <v>190.29795686942799</v>
      </c>
    </row>
    <row r="195" spans="1:8" ht="18.75">
      <c r="A195" t="s">
        <v>61</v>
      </c>
      <c r="B195" t="s">
        <v>26</v>
      </c>
      <c r="C195" t="s">
        <v>66</v>
      </c>
      <c r="D195" t="s">
        <v>67</v>
      </c>
      <c r="E195" t="s">
        <v>39</v>
      </c>
      <c r="G195">
        <v>204583.33333333334</v>
      </c>
      <c r="H195">
        <v>13.346646971240943</v>
      </c>
    </row>
    <row r="196" spans="1:8" ht="18.75">
      <c r="A196" t="s">
        <v>61</v>
      </c>
      <c r="B196" t="s">
        <v>26</v>
      </c>
      <c r="C196" t="s">
        <v>68</v>
      </c>
      <c r="D196" t="s">
        <v>69</v>
      </c>
      <c r="E196" t="s">
        <v>40</v>
      </c>
      <c r="G196">
        <v>20727.04350715968</v>
      </c>
      <c r="H196">
        <v>75.140476953400636</v>
      </c>
    </row>
    <row r="197" spans="1:8" ht="18.75">
      <c r="A197" t="s">
        <v>61</v>
      </c>
      <c r="B197" t="s">
        <v>26</v>
      </c>
      <c r="C197" t="s">
        <v>70</v>
      </c>
      <c r="D197" t="s">
        <v>71</v>
      </c>
      <c r="E197" t="s">
        <v>41</v>
      </c>
      <c r="G197">
        <v>0</v>
      </c>
      <c r="H197">
        <v>0</v>
      </c>
    </row>
    <row r="198" spans="1:8" ht="18.75">
      <c r="A198" t="s">
        <v>61</v>
      </c>
      <c r="B198" t="s">
        <v>26</v>
      </c>
      <c r="C198" t="s">
        <v>70</v>
      </c>
      <c r="D198" t="s">
        <v>72</v>
      </c>
      <c r="E198" t="s">
        <v>42</v>
      </c>
      <c r="G198">
        <v>0</v>
      </c>
      <c r="H198">
        <v>0</v>
      </c>
    </row>
    <row r="199" spans="1:8">
      <c r="A199" t="s">
        <v>61</v>
      </c>
      <c r="B199" t="s">
        <v>26</v>
      </c>
      <c r="C199" t="s">
        <v>73</v>
      </c>
      <c r="D199" t="s">
        <v>74</v>
      </c>
      <c r="E199" t="s">
        <v>43</v>
      </c>
      <c r="G199">
        <v>4016.2512462612176</v>
      </c>
      <c r="H199">
        <v>6.8261615154536415</v>
      </c>
    </row>
    <row r="200" spans="1:8">
      <c r="A200" t="s">
        <v>61</v>
      </c>
      <c r="B200" t="s">
        <v>26</v>
      </c>
      <c r="C200" t="s">
        <v>76</v>
      </c>
      <c r="D200" t="s">
        <v>77</v>
      </c>
      <c r="E200" t="s">
        <v>44</v>
      </c>
      <c r="G200">
        <v>17789.855072463768</v>
      </c>
      <c r="H200">
        <v>13.406434782608695</v>
      </c>
    </row>
    <row r="201" spans="1:8">
      <c r="A201" t="s">
        <v>61</v>
      </c>
      <c r="B201" t="s">
        <v>26</v>
      </c>
      <c r="C201" t="s">
        <v>78</v>
      </c>
      <c r="D201" t="s">
        <v>79</v>
      </c>
      <c r="E201" t="s">
        <v>45</v>
      </c>
      <c r="G201">
        <v>80054.347826086945</v>
      </c>
      <c r="H201">
        <v>7.8068999999999997</v>
      </c>
    </row>
    <row r="202" spans="1:8">
      <c r="A202" t="s">
        <v>61</v>
      </c>
      <c r="B202" t="s">
        <v>26</v>
      </c>
      <c r="D202" t="s">
        <v>80</v>
      </c>
      <c r="E202" t="s">
        <v>46</v>
      </c>
      <c r="G202">
        <v>8811.5653040877387</v>
      </c>
      <c r="H202">
        <v>241.00895729478236</v>
      </c>
    </row>
    <row r="203" spans="1:8">
      <c r="A203" t="s">
        <v>61</v>
      </c>
      <c r="B203" t="s">
        <v>26</v>
      </c>
      <c r="D203" t="s">
        <v>80</v>
      </c>
      <c r="E203" t="s">
        <v>47</v>
      </c>
      <c r="G203">
        <v>2937.1884346959127</v>
      </c>
      <c r="H203">
        <v>8.406172108673978</v>
      </c>
    </row>
    <row r="204" spans="1:8">
      <c r="A204" t="s">
        <v>61</v>
      </c>
      <c r="B204" t="s">
        <v>26</v>
      </c>
      <c r="D204" t="s">
        <v>81</v>
      </c>
      <c r="E204" t="s">
        <v>48</v>
      </c>
      <c r="G204">
        <v>800543.47826086963</v>
      </c>
      <c r="H204">
        <v>12.168892548403532</v>
      </c>
    </row>
    <row r="205" spans="1:8">
      <c r="A205" t="s">
        <v>61</v>
      </c>
      <c r="B205" t="s">
        <v>26</v>
      </c>
      <c r="D205" t="s">
        <v>81</v>
      </c>
      <c r="E205" t="s">
        <v>49</v>
      </c>
      <c r="G205">
        <v>0</v>
      </c>
      <c r="H205">
        <v>0</v>
      </c>
    </row>
    <row r="206" spans="1:8">
      <c r="A206" t="s">
        <v>61</v>
      </c>
      <c r="B206" t="s">
        <v>27</v>
      </c>
      <c r="C206" t="s">
        <v>62</v>
      </c>
      <c r="D206" t="s">
        <v>63</v>
      </c>
      <c r="E206" t="s">
        <v>64</v>
      </c>
      <c r="G206">
        <v>1941496.527771757</v>
      </c>
      <c r="H206">
        <v>769.09406251708492</v>
      </c>
    </row>
    <row r="207" spans="1:8" ht="18.75">
      <c r="A207" t="s">
        <v>61</v>
      </c>
      <c r="B207" t="s">
        <v>27</v>
      </c>
      <c r="C207" t="s">
        <v>66</v>
      </c>
      <c r="D207" t="s">
        <v>67</v>
      </c>
      <c r="E207" t="s">
        <v>39</v>
      </c>
      <c r="G207">
        <v>80054.34782608696</v>
      </c>
      <c r="H207">
        <v>5.2971128057065222</v>
      </c>
    </row>
    <row r="208" spans="1:8" ht="18.75">
      <c r="A208" t="s">
        <v>61</v>
      </c>
      <c r="B208" t="s">
        <v>27</v>
      </c>
      <c r="C208" t="s">
        <v>68</v>
      </c>
      <c r="D208" t="s">
        <v>69</v>
      </c>
      <c r="E208" t="s">
        <v>40</v>
      </c>
      <c r="G208">
        <v>35251.582209892062</v>
      </c>
      <c r="H208">
        <v>256.23352838689573</v>
      </c>
    </row>
    <row r="209" spans="1:8" ht="18.75">
      <c r="A209" t="s">
        <v>61</v>
      </c>
      <c r="B209" t="s">
        <v>27</v>
      </c>
      <c r="C209" t="s">
        <v>70</v>
      </c>
      <c r="D209" t="s">
        <v>71</v>
      </c>
      <c r="E209" t="s">
        <v>41</v>
      </c>
      <c r="G209">
        <v>0</v>
      </c>
      <c r="H209">
        <v>0</v>
      </c>
    </row>
    <row r="210" spans="1:8" ht="18.75">
      <c r="A210" t="s">
        <v>61</v>
      </c>
      <c r="B210" t="s">
        <v>27</v>
      </c>
      <c r="C210" t="s">
        <v>70</v>
      </c>
      <c r="D210" t="s">
        <v>72</v>
      </c>
      <c r="E210" t="s">
        <v>42</v>
      </c>
      <c r="G210">
        <v>0</v>
      </c>
      <c r="H210">
        <v>0</v>
      </c>
    </row>
    <row r="211" spans="1:8">
      <c r="A211" t="s">
        <v>61</v>
      </c>
      <c r="B211" t="s">
        <v>27</v>
      </c>
      <c r="C211" t="s">
        <v>73</v>
      </c>
      <c r="D211" t="s">
        <v>74</v>
      </c>
      <c r="E211" t="s">
        <v>43</v>
      </c>
      <c r="G211">
        <v>6119.14257228315</v>
      </c>
      <c r="H211">
        <v>5.5053093519441667</v>
      </c>
    </row>
    <row r="212" spans="1:8">
      <c r="A212" t="s">
        <v>61</v>
      </c>
      <c r="B212" t="s">
        <v>27</v>
      </c>
      <c r="C212" t="s">
        <v>76</v>
      </c>
      <c r="D212" t="s">
        <v>77</v>
      </c>
      <c r="E212" t="s">
        <v>44</v>
      </c>
      <c r="G212">
        <v>0</v>
      </c>
      <c r="H212">
        <v>0</v>
      </c>
    </row>
    <row r="213" spans="1:8">
      <c r="A213" t="s">
        <v>61</v>
      </c>
      <c r="B213" t="s">
        <v>27</v>
      </c>
      <c r="C213" t="s">
        <v>78</v>
      </c>
      <c r="D213" t="s">
        <v>79</v>
      </c>
      <c r="E213" t="s">
        <v>45</v>
      </c>
      <c r="G213">
        <v>8894.927536231884</v>
      </c>
      <c r="H213">
        <v>1.0673913043478263</v>
      </c>
    </row>
    <row r="214" spans="1:8">
      <c r="A214" t="s">
        <v>61</v>
      </c>
      <c r="B214" t="s">
        <v>27</v>
      </c>
      <c r="D214" t="s">
        <v>80</v>
      </c>
      <c r="E214" t="s">
        <v>46</v>
      </c>
      <c r="G214">
        <v>30028.140217030068</v>
      </c>
      <c r="H214">
        <v>283.29583189968139</v>
      </c>
    </row>
    <row r="215" spans="1:8">
      <c r="A215" t="s">
        <v>61</v>
      </c>
      <c r="B215" t="s">
        <v>27</v>
      </c>
      <c r="D215" t="s">
        <v>80</v>
      </c>
      <c r="E215" t="s">
        <v>47</v>
      </c>
      <c r="G215">
        <v>3671.4855433698904</v>
      </c>
      <c r="H215">
        <v>10.507715135842473</v>
      </c>
    </row>
    <row r="216" spans="1:8">
      <c r="A216" t="s">
        <v>61</v>
      </c>
      <c r="B216" t="s">
        <v>27</v>
      </c>
      <c r="D216" t="s">
        <v>81</v>
      </c>
      <c r="E216" t="s">
        <v>48</v>
      </c>
      <c r="G216">
        <v>1458768.1159420288</v>
      </c>
      <c r="H216">
        <v>8.9897738705842389</v>
      </c>
    </row>
    <row r="217" spans="1:8">
      <c r="A217" t="s">
        <v>61</v>
      </c>
      <c r="B217" t="s">
        <v>27</v>
      </c>
      <c r="D217" t="s">
        <v>81</v>
      </c>
      <c r="E217" t="s">
        <v>49</v>
      </c>
      <c r="G217">
        <v>0</v>
      </c>
      <c r="H217">
        <v>0</v>
      </c>
    </row>
    <row r="218" spans="1:8">
      <c r="A218" t="s">
        <v>61</v>
      </c>
      <c r="B218" t="s">
        <v>28</v>
      </c>
      <c r="C218" t="s">
        <v>62</v>
      </c>
      <c r="D218" t="s">
        <v>63</v>
      </c>
      <c r="E218" t="s">
        <v>64</v>
      </c>
      <c r="G218">
        <v>514204.40941667755</v>
      </c>
      <c r="H218">
        <v>372.90491591142182</v>
      </c>
    </row>
    <row r="219" spans="1:8" ht="18.75">
      <c r="A219" t="s">
        <v>61</v>
      </c>
      <c r="B219" t="s">
        <v>28</v>
      </c>
      <c r="C219" t="s">
        <v>66</v>
      </c>
      <c r="D219" t="s">
        <v>67</v>
      </c>
      <c r="E219" t="s">
        <v>39</v>
      </c>
      <c r="G219">
        <v>133423.91304347824</v>
      </c>
      <c r="H219">
        <v>19.268258740942027</v>
      </c>
    </row>
    <row r="220" spans="1:8" ht="18.75">
      <c r="A220" t="s">
        <v>61</v>
      </c>
      <c r="B220" t="s">
        <v>28</v>
      </c>
      <c r="C220" t="s">
        <v>68</v>
      </c>
      <c r="D220" t="s">
        <v>69</v>
      </c>
      <c r="E220" t="s">
        <v>40</v>
      </c>
      <c r="G220">
        <v>73607.077318768337</v>
      </c>
      <c r="H220">
        <v>72.462172222766412</v>
      </c>
    </row>
    <row r="221" spans="1:8" ht="18.75">
      <c r="A221" t="s">
        <v>61</v>
      </c>
      <c r="B221" t="s">
        <v>28</v>
      </c>
      <c r="C221" t="s">
        <v>70</v>
      </c>
      <c r="D221" t="s">
        <v>71</v>
      </c>
      <c r="E221" t="s">
        <v>41</v>
      </c>
      <c r="G221">
        <v>2447.6570289132601</v>
      </c>
      <c r="H221">
        <v>8.6463484546360922E-2</v>
      </c>
    </row>
    <row r="222" spans="1:8" ht="18.75">
      <c r="A222" t="s">
        <v>61</v>
      </c>
      <c r="B222" t="s">
        <v>28</v>
      </c>
      <c r="C222" t="s">
        <v>70</v>
      </c>
      <c r="D222" t="s">
        <v>72</v>
      </c>
      <c r="E222" t="s">
        <v>42</v>
      </c>
      <c r="G222">
        <v>0</v>
      </c>
      <c r="H222">
        <v>0</v>
      </c>
    </row>
    <row r="223" spans="1:8">
      <c r="A223" t="s">
        <v>61</v>
      </c>
      <c r="B223" t="s">
        <v>28</v>
      </c>
      <c r="C223" t="s">
        <v>73</v>
      </c>
      <c r="D223" t="s">
        <v>74</v>
      </c>
      <c r="E223" t="s">
        <v>43</v>
      </c>
      <c r="G223">
        <v>0</v>
      </c>
      <c r="H223">
        <v>0</v>
      </c>
    </row>
    <row r="224" spans="1:8">
      <c r="A224" t="s">
        <v>61</v>
      </c>
      <c r="B224" t="s">
        <v>28</v>
      </c>
      <c r="C224" t="s">
        <v>76</v>
      </c>
      <c r="D224" t="s">
        <v>77</v>
      </c>
      <c r="E224" t="s">
        <v>44</v>
      </c>
      <c r="G224">
        <v>0</v>
      </c>
      <c r="H224">
        <v>0</v>
      </c>
    </row>
    <row r="225" spans="1:8">
      <c r="A225" t="s">
        <v>61</v>
      </c>
      <c r="B225" t="s">
        <v>28</v>
      </c>
      <c r="C225" t="s">
        <v>78</v>
      </c>
      <c r="D225" t="s">
        <v>79</v>
      </c>
      <c r="E225" t="s">
        <v>45</v>
      </c>
      <c r="G225">
        <v>20805.08474576271</v>
      </c>
      <c r="H225">
        <v>2.0014001994017945</v>
      </c>
    </row>
    <row r="226" spans="1:8">
      <c r="A226" t="s">
        <v>61</v>
      </c>
      <c r="B226" t="s">
        <v>28</v>
      </c>
      <c r="D226" t="s">
        <v>80</v>
      </c>
      <c r="E226" t="s">
        <v>46</v>
      </c>
      <c r="G226">
        <v>3671.4855433698904</v>
      </c>
      <c r="H226">
        <v>51.878090727816549</v>
      </c>
    </row>
    <row r="227" spans="1:8">
      <c r="A227" t="s">
        <v>61</v>
      </c>
      <c r="B227" t="s">
        <v>28</v>
      </c>
      <c r="D227" t="s">
        <v>80</v>
      </c>
      <c r="E227" t="s">
        <v>47</v>
      </c>
      <c r="G227">
        <v>53369.565217391304</v>
      </c>
      <c r="H227">
        <v>152.74258378623188</v>
      </c>
    </row>
    <row r="228" spans="1:8">
      <c r="A228" t="s">
        <v>61</v>
      </c>
      <c r="B228" t="s">
        <v>28</v>
      </c>
      <c r="D228" t="s">
        <v>81</v>
      </c>
      <c r="E228" t="s">
        <v>48</v>
      </c>
      <c r="G228">
        <v>800543.47826086963</v>
      </c>
      <c r="H228">
        <v>7.2288700832201087</v>
      </c>
    </row>
    <row r="229" spans="1:8">
      <c r="A229" t="s">
        <v>61</v>
      </c>
      <c r="B229" t="s">
        <v>28</v>
      </c>
      <c r="D229" t="s">
        <v>81</v>
      </c>
      <c r="E229" t="s">
        <v>49</v>
      </c>
      <c r="G229">
        <v>177898.55072463769</v>
      </c>
      <c r="H229">
        <v>84.80035501207729</v>
      </c>
    </row>
    <row r="230" spans="1:8">
      <c r="A230" t="s">
        <v>61</v>
      </c>
      <c r="B230" t="s">
        <v>29</v>
      </c>
      <c r="C230" t="s">
        <v>62</v>
      </c>
      <c r="D230" t="s">
        <v>63</v>
      </c>
      <c r="E230" t="s">
        <v>64</v>
      </c>
      <c r="G230">
        <v>647673.21304026397</v>
      </c>
      <c r="H230">
        <v>458.06335481313073</v>
      </c>
    </row>
    <row r="231" spans="1:8" ht="18.75">
      <c r="A231" t="s">
        <v>61</v>
      </c>
      <c r="B231" t="s">
        <v>29</v>
      </c>
      <c r="C231" t="s">
        <v>66</v>
      </c>
      <c r="D231" t="s">
        <v>67</v>
      </c>
      <c r="E231" t="s">
        <v>39</v>
      </c>
      <c r="G231">
        <v>169003.62318840579</v>
      </c>
      <c r="H231">
        <v>11.406816157155797</v>
      </c>
    </row>
    <row r="232" spans="1:8" ht="18.75">
      <c r="A232" t="s">
        <v>61</v>
      </c>
      <c r="B232" t="s">
        <v>29</v>
      </c>
      <c r="C232" t="s">
        <v>68</v>
      </c>
      <c r="D232" t="s">
        <v>69</v>
      </c>
      <c r="E232" t="s">
        <v>40</v>
      </c>
      <c r="G232">
        <v>38516.898579623448</v>
      </c>
      <c r="H232">
        <v>111.295529430231</v>
      </c>
    </row>
    <row r="233" spans="1:8" ht="18.75">
      <c r="A233" t="s">
        <v>61</v>
      </c>
      <c r="B233" t="s">
        <v>29</v>
      </c>
      <c r="C233" t="s">
        <v>70</v>
      </c>
      <c r="D233" t="s">
        <v>71</v>
      </c>
      <c r="E233" t="s">
        <v>41</v>
      </c>
      <c r="G233">
        <v>0</v>
      </c>
      <c r="H233">
        <v>0</v>
      </c>
    </row>
    <row r="234" spans="1:8" ht="18.75">
      <c r="A234" t="s">
        <v>61</v>
      </c>
      <c r="B234" t="s">
        <v>29</v>
      </c>
      <c r="C234" t="s">
        <v>70</v>
      </c>
      <c r="D234" t="s">
        <v>72</v>
      </c>
      <c r="E234" t="s">
        <v>42</v>
      </c>
      <c r="G234">
        <v>0</v>
      </c>
      <c r="H234">
        <v>0</v>
      </c>
    </row>
    <row r="235" spans="1:8">
      <c r="A235" t="s">
        <v>61</v>
      </c>
      <c r="B235" t="s">
        <v>29</v>
      </c>
      <c r="C235" t="s">
        <v>73</v>
      </c>
      <c r="D235" t="s">
        <v>74</v>
      </c>
      <c r="E235" t="s">
        <v>43</v>
      </c>
      <c r="G235">
        <v>2081.307709524488</v>
      </c>
      <c r="H235">
        <v>32.302194365881945</v>
      </c>
    </row>
    <row r="236" spans="1:8">
      <c r="A236" t="s">
        <v>61</v>
      </c>
      <c r="B236" t="s">
        <v>29</v>
      </c>
      <c r="C236" t="s">
        <v>76</v>
      </c>
      <c r="D236" t="s">
        <v>77</v>
      </c>
      <c r="E236" t="s">
        <v>44</v>
      </c>
      <c r="G236">
        <v>0</v>
      </c>
      <c r="H236">
        <v>0</v>
      </c>
    </row>
    <row r="237" spans="1:8">
      <c r="A237" t="s">
        <v>61</v>
      </c>
      <c r="B237" t="s">
        <v>29</v>
      </c>
      <c r="C237" t="s">
        <v>78</v>
      </c>
      <c r="D237" t="s">
        <v>79</v>
      </c>
      <c r="E237" t="s">
        <v>45</v>
      </c>
      <c r="G237">
        <v>62264.492753623184</v>
      </c>
      <c r="H237">
        <v>4.7723065217391314</v>
      </c>
    </row>
    <row r="238" spans="1:8">
      <c r="A238" t="s">
        <v>61</v>
      </c>
      <c r="B238" t="s">
        <v>29</v>
      </c>
      <c r="D238" t="s">
        <v>80</v>
      </c>
      <c r="E238" t="s">
        <v>46</v>
      </c>
      <c r="G238">
        <v>1958.1256231306086</v>
      </c>
      <c r="H238">
        <v>27.668315054835499</v>
      </c>
    </row>
    <row r="239" spans="1:8">
      <c r="A239" t="s">
        <v>61</v>
      </c>
      <c r="B239" t="s">
        <v>29</v>
      </c>
      <c r="D239" t="s">
        <v>80</v>
      </c>
      <c r="E239" t="s">
        <v>47</v>
      </c>
      <c r="G239">
        <v>0</v>
      </c>
      <c r="H239">
        <v>0</v>
      </c>
    </row>
    <row r="240" spans="1:8">
      <c r="A240" t="s">
        <v>61</v>
      </c>
      <c r="B240" t="s">
        <v>29</v>
      </c>
      <c r="D240" t="s">
        <v>81</v>
      </c>
      <c r="E240" t="s">
        <v>48</v>
      </c>
      <c r="G240">
        <v>105738.78364905287</v>
      </c>
      <c r="H240">
        <v>0.70943289070289151</v>
      </c>
    </row>
    <row r="241" spans="1:8">
      <c r="A241" t="s">
        <v>61</v>
      </c>
      <c r="B241" t="s">
        <v>29</v>
      </c>
      <c r="D241" t="s">
        <v>81</v>
      </c>
      <c r="E241" t="s">
        <v>49</v>
      </c>
      <c r="G241">
        <v>90907.400985449451</v>
      </c>
      <c r="H241">
        <v>12.056295636640803</v>
      </c>
    </row>
    <row r="242" spans="1:8">
      <c r="A242" t="s">
        <v>61</v>
      </c>
      <c r="B242" t="s">
        <v>30</v>
      </c>
      <c r="C242" t="s">
        <v>62</v>
      </c>
      <c r="D242" t="s">
        <v>63</v>
      </c>
      <c r="E242" t="s">
        <v>64</v>
      </c>
      <c r="G242">
        <v>296449.55375429464</v>
      </c>
      <c r="H242">
        <v>513.41086445521569</v>
      </c>
    </row>
    <row r="243" spans="1:8" ht="18.75">
      <c r="A243" t="s">
        <v>61</v>
      </c>
      <c r="B243" t="s">
        <v>30</v>
      </c>
      <c r="C243" t="s">
        <v>66</v>
      </c>
      <c r="D243" t="s">
        <v>67</v>
      </c>
      <c r="E243" t="s">
        <v>39</v>
      </c>
      <c r="G243">
        <v>382481.88405797101</v>
      </c>
      <c r="H243">
        <v>33.162451507774762</v>
      </c>
    </row>
    <row r="244" spans="1:8" ht="18.75">
      <c r="A244" t="s">
        <v>61</v>
      </c>
      <c r="B244" t="s">
        <v>30</v>
      </c>
      <c r="C244" t="s">
        <v>68</v>
      </c>
      <c r="D244" t="s">
        <v>69</v>
      </c>
      <c r="E244" t="s">
        <v>40</v>
      </c>
      <c r="G244">
        <v>0</v>
      </c>
      <c r="H244">
        <v>0</v>
      </c>
    </row>
    <row r="245" spans="1:8" ht="18.75">
      <c r="A245" t="s">
        <v>61</v>
      </c>
      <c r="B245" t="s">
        <v>30</v>
      </c>
      <c r="C245" t="s">
        <v>70</v>
      </c>
      <c r="D245" t="s">
        <v>71</v>
      </c>
      <c r="E245" t="s">
        <v>41</v>
      </c>
      <c r="G245">
        <v>53369.565217391304</v>
      </c>
      <c r="H245">
        <v>1.8852798913043478</v>
      </c>
    </row>
    <row r="246" spans="1:8" ht="18.75">
      <c r="A246" t="s">
        <v>61</v>
      </c>
      <c r="B246" t="s">
        <v>30</v>
      </c>
      <c r="C246" t="s">
        <v>70</v>
      </c>
      <c r="D246" t="s">
        <v>72</v>
      </c>
      <c r="E246" t="s">
        <v>42</v>
      </c>
      <c r="G246">
        <v>0</v>
      </c>
      <c r="H246">
        <v>0</v>
      </c>
    </row>
    <row r="247" spans="1:8">
      <c r="A247" t="s">
        <v>61</v>
      </c>
      <c r="B247" t="s">
        <v>30</v>
      </c>
      <c r="C247" t="s">
        <v>73</v>
      </c>
      <c r="D247" t="s">
        <v>74</v>
      </c>
      <c r="E247" t="s">
        <v>43</v>
      </c>
      <c r="G247">
        <v>2447.6570289132601</v>
      </c>
      <c r="H247">
        <v>25.999624875373879</v>
      </c>
    </row>
    <row r="248" spans="1:8">
      <c r="A248" t="s">
        <v>61</v>
      </c>
      <c r="B248" t="s">
        <v>30</v>
      </c>
      <c r="C248" t="s">
        <v>76</v>
      </c>
      <c r="D248" t="s">
        <v>77</v>
      </c>
      <c r="E248" t="s">
        <v>44</v>
      </c>
      <c r="G248">
        <v>0</v>
      </c>
      <c r="H248">
        <v>0</v>
      </c>
    </row>
    <row r="249" spans="1:8">
      <c r="A249" t="s">
        <v>61</v>
      </c>
      <c r="B249" t="s">
        <v>30</v>
      </c>
      <c r="C249" t="s">
        <v>78</v>
      </c>
      <c r="D249" t="s">
        <v>79</v>
      </c>
      <c r="E249" t="s">
        <v>45</v>
      </c>
      <c r="G249">
        <v>151213.76811594202</v>
      </c>
      <c r="H249">
        <v>23.144201177536232</v>
      </c>
    </row>
    <row r="250" spans="1:8">
      <c r="A250" t="s">
        <v>61</v>
      </c>
      <c r="B250" t="s">
        <v>30</v>
      </c>
      <c r="D250" t="s">
        <v>80</v>
      </c>
      <c r="E250" t="s">
        <v>46</v>
      </c>
      <c r="G250">
        <v>1223.82851445663</v>
      </c>
      <c r="H250">
        <v>40.990096377534059</v>
      </c>
    </row>
    <row r="251" spans="1:8">
      <c r="A251" t="s">
        <v>61</v>
      </c>
      <c r="B251" t="s">
        <v>30</v>
      </c>
      <c r="D251" t="s">
        <v>80</v>
      </c>
      <c r="E251" t="s">
        <v>47</v>
      </c>
      <c r="G251">
        <v>0</v>
      </c>
      <c r="H251">
        <v>0</v>
      </c>
    </row>
    <row r="252" spans="1:8">
      <c r="A252" t="s">
        <v>61</v>
      </c>
      <c r="B252" t="s">
        <v>30</v>
      </c>
      <c r="D252" t="s">
        <v>81</v>
      </c>
      <c r="E252" t="s">
        <v>48</v>
      </c>
      <c r="G252">
        <v>507010.86956521741</v>
      </c>
      <c r="H252">
        <v>9.552084782608695</v>
      </c>
    </row>
    <row r="253" spans="1:8">
      <c r="A253" t="s">
        <v>61</v>
      </c>
      <c r="B253" t="s">
        <v>30</v>
      </c>
      <c r="D253" t="s">
        <v>81</v>
      </c>
      <c r="E253" t="s">
        <v>49</v>
      </c>
      <c r="G253">
        <v>0</v>
      </c>
      <c r="H253">
        <v>0</v>
      </c>
    </row>
    <row r="254" spans="1:8">
      <c r="A254" t="s">
        <v>61</v>
      </c>
      <c r="B254" t="s">
        <v>31</v>
      </c>
      <c r="C254" t="s">
        <v>62</v>
      </c>
      <c r="D254" t="s">
        <v>63</v>
      </c>
      <c r="E254" t="s">
        <v>64</v>
      </c>
      <c r="G254">
        <v>330001.81159420294</v>
      </c>
      <c r="H254">
        <v>282.06463805857487</v>
      </c>
    </row>
    <row r="255" spans="1:8" ht="18.75">
      <c r="A255" t="s">
        <v>61</v>
      </c>
      <c r="B255" t="s">
        <v>31</v>
      </c>
      <c r="C255" t="s">
        <v>66</v>
      </c>
      <c r="D255" t="s">
        <v>67</v>
      </c>
      <c r="E255" t="s">
        <v>39</v>
      </c>
      <c r="G255">
        <v>329112.31884057971</v>
      </c>
      <c r="H255">
        <v>28.111763403910022</v>
      </c>
    </row>
    <row r="256" spans="1:8" ht="18.75">
      <c r="A256" t="s">
        <v>61</v>
      </c>
      <c r="B256" t="s">
        <v>31</v>
      </c>
      <c r="C256" t="s">
        <v>68</v>
      </c>
      <c r="D256" t="s">
        <v>69</v>
      </c>
      <c r="E256" t="s">
        <v>40</v>
      </c>
      <c r="G256">
        <v>18768.917884029073</v>
      </c>
      <c r="H256">
        <v>25.403055299319433</v>
      </c>
    </row>
    <row r="257" spans="1:8" ht="18.75">
      <c r="A257" t="s">
        <v>61</v>
      </c>
      <c r="B257" t="s">
        <v>31</v>
      </c>
      <c r="C257" t="s">
        <v>70</v>
      </c>
      <c r="D257" t="s">
        <v>71</v>
      </c>
      <c r="E257" t="s">
        <v>41</v>
      </c>
      <c r="G257">
        <v>0</v>
      </c>
      <c r="H257">
        <v>0</v>
      </c>
    </row>
    <row r="258" spans="1:8" ht="18.75">
      <c r="A258" t="s">
        <v>61</v>
      </c>
      <c r="B258" t="s">
        <v>31</v>
      </c>
      <c r="C258" t="s">
        <v>70</v>
      </c>
      <c r="D258" t="s">
        <v>72</v>
      </c>
      <c r="E258" t="s">
        <v>42</v>
      </c>
      <c r="G258">
        <v>0</v>
      </c>
      <c r="H258">
        <v>0</v>
      </c>
    </row>
    <row r="259" spans="1:8">
      <c r="A259" t="s">
        <v>61</v>
      </c>
      <c r="B259" t="s">
        <v>31</v>
      </c>
      <c r="C259" t="s">
        <v>73</v>
      </c>
      <c r="D259" t="s">
        <v>74</v>
      </c>
      <c r="E259" t="s">
        <v>43</v>
      </c>
      <c r="G259">
        <v>0</v>
      </c>
      <c r="H259">
        <v>0</v>
      </c>
    </row>
    <row r="260" spans="1:8">
      <c r="A260" t="s">
        <v>61</v>
      </c>
      <c r="B260" t="s">
        <v>31</v>
      </c>
      <c r="C260" t="s">
        <v>76</v>
      </c>
      <c r="D260" t="s">
        <v>77</v>
      </c>
      <c r="E260" t="s">
        <v>44</v>
      </c>
      <c r="G260">
        <v>0</v>
      </c>
      <c r="H260">
        <v>0</v>
      </c>
    </row>
    <row r="261" spans="1:8">
      <c r="A261" t="s">
        <v>61</v>
      </c>
      <c r="B261" t="s">
        <v>31</v>
      </c>
      <c r="C261" t="s">
        <v>78</v>
      </c>
      <c r="D261" t="s">
        <v>79</v>
      </c>
      <c r="E261" t="s">
        <v>45</v>
      </c>
      <c r="G261">
        <v>204583.33333333334</v>
      </c>
      <c r="H261">
        <v>38.328895048309178</v>
      </c>
    </row>
    <row r="262" spans="1:8">
      <c r="A262" t="s">
        <v>61</v>
      </c>
      <c r="B262" t="s">
        <v>31</v>
      </c>
      <c r="D262" t="s">
        <v>80</v>
      </c>
      <c r="E262" t="s">
        <v>46</v>
      </c>
      <c r="G262">
        <v>17789.855072463768</v>
      </c>
      <c r="H262">
        <v>39.276664402173914</v>
      </c>
    </row>
    <row r="263" spans="1:8">
      <c r="A263" t="s">
        <v>61</v>
      </c>
      <c r="B263" t="s">
        <v>31</v>
      </c>
      <c r="D263" t="s">
        <v>80</v>
      </c>
      <c r="E263" t="s">
        <v>47</v>
      </c>
      <c r="G263">
        <v>0</v>
      </c>
      <c r="H263">
        <v>0</v>
      </c>
    </row>
    <row r="264" spans="1:8">
      <c r="A264" t="s">
        <v>61</v>
      </c>
      <c r="B264" t="s">
        <v>31</v>
      </c>
      <c r="D264" t="s">
        <v>81</v>
      </c>
      <c r="E264" t="s">
        <v>48</v>
      </c>
      <c r="G264">
        <v>213478.26086956522</v>
      </c>
      <c r="H264">
        <v>13.574015217391304</v>
      </c>
    </row>
    <row r="265" spans="1:8">
      <c r="A265" t="s">
        <v>61</v>
      </c>
      <c r="B265" t="s">
        <v>31</v>
      </c>
      <c r="D265" t="s">
        <v>81</v>
      </c>
      <c r="E265" t="s">
        <v>49</v>
      </c>
      <c r="G265">
        <v>35579.710144927536</v>
      </c>
      <c r="H265">
        <v>4.0219304347826084</v>
      </c>
    </row>
    <row r="266" spans="1:8">
      <c r="A266" t="s">
        <v>61</v>
      </c>
      <c r="B266" t="s">
        <v>32</v>
      </c>
      <c r="C266" t="s">
        <v>62</v>
      </c>
      <c r="D266" t="s">
        <v>63</v>
      </c>
      <c r="E266" t="s">
        <v>64</v>
      </c>
      <c r="G266">
        <v>391866.34299998556</v>
      </c>
      <c r="H266">
        <v>54.958845480466813</v>
      </c>
    </row>
    <row r="267" spans="1:8" ht="18.75">
      <c r="A267" t="s">
        <v>61</v>
      </c>
      <c r="B267" t="s">
        <v>32</v>
      </c>
      <c r="C267" t="s">
        <v>66</v>
      </c>
      <c r="D267" t="s">
        <v>67</v>
      </c>
      <c r="E267" t="s">
        <v>39</v>
      </c>
      <c r="G267">
        <v>311322.46376811597</v>
      </c>
      <c r="H267">
        <v>33.847756567028981</v>
      </c>
    </row>
    <row r="268" spans="1:8" ht="18.75">
      <c r="A268" t="s">
        <v>61</v>
      </c>
      <c r="B268" t="s">
        <v>32</v>
      </c>
      <c r="C268" t="s">
        <v>68</v>
      </c>
      <c r="D268" t="s">
        <v>69</v>
      </c>
      <c r="E268" t="s">
        <v>40</v>
      </c>
      <c r="G268">
        <v>31580.096666522175</v>
      </c>
      <c r="H268">
        <v>81.519316540853538</v>
      </c>
    </row>
    <row r="269" spans="1:8" ht="18.75">
      <c r="A269" t="s">
        <v>61</v>
      </c>
      <c r="B269" t="s">
        <v>32</v>
      </c>
      <c r="C269" t="s">
        <v>70</v>
      </c>
      <c r="D269" t="s">
        <v>71</v>
      </c>
      <c r="E269" t="s">
        <v>41</v>
      </c>
      <c r="G269">
        <v>8894.927536231884</v>
      </c>
      <c r="H269">
        <v>0.31421331521739138</v>
      </c>
    </row>
    <row r="270" spans="1:8" ht="18.75">
      <c r="A270" t="s">
        <v>61</v>
      </c>
      <c r="B270" t="s">
        <v>32</v>
      </c>
      <c r="C270" t="s">
        <v>70</v>
      </c>
      <c r="D270" t="s">
        <v>72</v>
      </c>
      <c r="E270" t="s">
        <v>42</v>
      </c>
      <c r="G270">
        <v>0</v>
      </c>
      <c r="H270">
        <v>0</v>
      </c>
    </row>
    <row r="271" spans="1:8">
      <c r="A271" t="s">
        <v>61</v>
      </c>
      <c r="B271" t="s">
        <v>32</v>
      </c>
      <c r="C271" t="s">
        <v>73</v>
      </c>
      <c r="D271" t="s">
        <v>74</v>
      </c>
      <c r="E271" t="s">
        <v>43</v>
      </c>
      <c r="G271">
        <v>19521.626425072609</v>
      </c>
      <c r="H271">
        <v>12.682426202145376</v>
      </c>
    </row>
    <row r="272" spans="1:8">
      <c r="A272" t="s">
        <v>61</v>
      </c>
      <c r="B272" t="s">
        <v>32</v>
      </c>
      <c r="C272" t="s">
        <v>76</v>
      </c>
      <c r="D272" t="s">
        <v>77</v>
      </c>
      <c r="E272" t="s">
        <v>44</v>
      </c>
      <c r="G272">
        <v>0</v>
      </c>
      <c r="H272">
        <v>0</v>
      </c>
    </row>
    <row r="273" spans="1:8">
      <c r="A273" t="s">
        <v>61</v>
      </c>
      <c r="B273" t="s">
        <v>32</v>
      </c>
      <c r="C273" t="s">
        <v>78</v>
      </c>
      <c r="D273" t="s">
        <v>79</v>
      </c>
      <c r="E273" t="s">
        <v>45</v>
      </c>
      <c r="G273">
        <v>35579.710144927536</v>
      </c>
      <c r="H273">
        <v>3.3697543478260865</v>
      </c>
    </row>
    <row r="274" spans="1:8">
      <c r="A274" t="s">
        <v>61</v>
      </c>
      <c r="B274" t="s">
        <v>32</v>
      </c>
      <c r="D274" t="s">
        <v>80</v>
      </c>
      <c r="E274" t="s">
        <v>46</v>
      </c>
      <c r="G274">
        <v>17053.784299276085</v>
      </c>
      <c r="H274">
        <v>65.578729931506814</v>
      </c>
    </row>
    <row r="275" spans="1:8">
      <c r="A275" t="s">
        <v>61</v>
      </c>
      <c r="B275" t="s">
        <v>32</v>
      </c>
      <c r="D275" t="s">
        <v>80</v>
      </c>
      <c r="E275" t="s">
        <v>47</v>
      </c>
      <c r="G275">
        <v>0</v>
      </c>
      <c r="H275">
        <v>0</v>
      </c>
    </row>
    <row r="276" spans="1:8">
      <c r="A276" t="s">
        <v>61</v>
      </c>
      <c r="B276" t="s">
        <v>32</v>
      </c>
      <c r="D276" t="s">
        <v>81</v>
      </c>
      <c r="E276" t="s">
        <v>48</v>
      </c>
      <c r="G276">
        <v>364692.0289855072</v>
      </c>
      <c r="H276">
        <v>7.6668048913043467</v>
      </c>
    </row>
    <row r="277" spans="1:8">
      <c r="A277" t="s">
        <v>61</v>
      </c>
      <c r="B277" t="s">
        <v>32</v>
      </c>
      <c r="D277" t="s">
        <v>81</v>
      </c>
      <c r="E277" t="s">
        <v>49</v>
      </c>
      <c r="G277">
        <v>8894.927536231884</v>
      </c>
      <c r="H277">
        <v>0.3351608695652174</v>
      </c>
    </row>
    <row r="278" spans="1:8">
      <c r="A278" t="s">
        <v>61</v>
      </c>
      <c r="B278" t="s">
        <v>33</v>
      </c>
      <c r="C278" t="s">
        <v>62</v>
      </c>
      <c r="D278" t="s">
        <v>63</v>
      </c>
      <c r="E278" t="s">
        <v>64</v>
      </c>
      <c r="G278">
        <v>320277.39130434784</v>
      </c>
      <c r="H278">
        <v>52.240544057971015</v>
      </c>
    </row>
    <row r="279" spans="1:8" ht="18.75">
      <c r="A279" t="s">
        <v>61</v>
      </c>
      <c r="B279" t="s">
        <v>33</v>
      </c>
      <c r="C279" t="s">
        <v>66</v>
      </c>
      <c r="D279" t="s">
        <v>67</v>
      </c>
      <c r="E279" t="s">
        <v>39</v>
      </c>
      <c r="G279">
        <v>97844.20289855072</v>
      </c>
      <c r="H279">
        <v>15.029870244565217</v>
      </c>
    </row>
    <row r="280" spans="1:8" ht="18.75">
      <c r="A280" t="s">
        <v>61</v>
      </c>
      <c r="B280" t="s">
        <v>33</v>
      </c>
      <c r="C280" t="s">
        <v>68</v>
      </c>
      <c r="D280" t="s">
        <v>69</v>
      </c>
      <c r="E280" t="s">
        <v>40</v>
      </c>
      <c r="G280">
        <v>38027.367173840801</v>
      </c>
      <c r="H280">
        <v>52.930867907655028</v>
      </c>
    </row>
    <row r="281" spans="1:8" ht="18.75">
      <c r="A281" t="s">
        <v>61</v>
      </c>
      <c r="B281" t="s">
        <v>33</v>
      </c>
      <c r="C281" t="s">
        <v>70</v>
      </c>
      <c r="D281" t="s">
        <v>71</v>
      </c>
      <c r="E281" t="s">
        <v>41</v>
      </c>
      <c r="G281">
        <v>26684.782608695652</v>
      </c>
      <c r="H281">
        <v>0.94263994565217391</v>
      </c>
    </row>
    <row r="282" spans="1:8" ht="18.75">
      <c r="A282" t="s">
        <v>61</v>
      </c>
      <c r="B282" t="s">
        <v>33</v>
      </c>
      <c r="C282" t="s">
        <v>70</v>
      </c>
      <c r="D282" t="s">
        <v>72</v>
      </c>
      <c r="E282" t="s">
        <v>42</v>
      </c>
      <c r="G282">
        <v>0</v>
      </c>
      <c r="H282">
        <v>0</v>
      </c>
    </row>
    <row r="283" spans="1:8">
      <c r="A283" t="s">
        <v>61</v>
      </c>
      <c r="B283" t="s">
        <v>33</v>
      </c>
      <c r="C283" t="s">
        <v>73</v>
      </c>
      <c r="D283" t="s">
        <v>74</v>
      </c>
      <c r="E283" t="s">
        <v>43</v>
      </c>
      <c r="G283">
        <v>1223.82851445663</v>
      </c>
      <c r="H283">
        <v>3.8428215353938184</v>
      </c>
    </row>
    <row r="284" spans="1:8">
      <c r="A284" t="s">
        <v>61</v>
      </c>
      <c r="B284" t="s">
        <v>33</v>
      </c>
      <c r="C284" t="s">
        <v>76</v>
      </c>
      <c r="D284" t="s">
        <v>77</v>
      </c>
      <c r="E284" t="s">
        <v>44</v>
      </c>
      <c r="G284">
        <v>19013.683586920397</v>
      </c>
      <c r="H284">
        <v>10.232301323083888</v>
      </c>
    </row>
    <row r="285" spans="1:8">
      <c r="A285" t="s">
        <v>61</v>
      </c>
      <c r="B285" t="s">
        <v>33</v>
      </c>
      <c r="C285" t="s">
        <v>78</v>
      </c>
      <c r="D285" t="s">
        <v>79</v>
      </c>
      <c r="E285" t="s">
        <v>45</v>
      </c>
      <c r="G285">
        <v>80054.34782608696</v>
      </c>
      <c r="H285">
        <v>5.9561917270531408</v>
      </c>
    </row>
    <row r="286" spans="1:8">
      <c r="A286" t="s">
        <v>61</v>
      </c>
      <c r="B286" t="s">
        <v>33</v>
      </c>
      <c r="D286" t="s">
        <v>80</v>
      </c>
      <c r="E286" t="s">
        <v>46</v>
      </c>
      <c r="G286">
        <v>14685.942173479561</v>
      </c>
      <c r="H286">
        <v>162.03146923162802</v>
      </c>
    </row>
    <row r="287" spans="1:8">
      <c r="A287" t="s">
        <v>61</v>
      </c>
      <c r="B287" t="s">
        <v>33</v>
      </c>
      <c r="D287" t="s">
        <v>80</v>
      </c>
      <c r="E287" t="s">
        <v>47</v>
      </c>
      <c r="G287">
        <v>3671.4855433698904</v>
      </c>
      <c r="H287">
        <v>10.507715135842473</v>
      </c>
    </row>
    <row r="288" spans="1:8">
      <c r="A288" t="s">
        <v>61</v>
      </c>
      <c r="B288" t="s">
        <v>33</v>
      </c>
      <c r="D288" t="s">
        <v>81</v>
      </c>
      <c r="E288" t="s">
        <v>48</v>
      </c>
      <c r="G288">
        <v>649329.71014492749</v>
      </c>
      <c r="H288">
        <v>15.90541255519701</v>
      </c>
    </row>
    <row r="289" spans="1:8">
      <c r="A289" t="s">
        <v>61</v>
      </c>
      <c r="B289" t="s">
        <v>33</v>
      </c>
      <c r="D289" t="s">
        <v>81</v>
      </c>
      <c r="E289" t="s">
        <v>49</v>
      </c>
      <c r="G289">
        <v>17789.855072463768</v>
      </c>
      <c r="H289">
        <v>0</v>
      </c>
    </row>
    <row r="290" spans="1:8">
      <c r="A290" t="s">
        <v>61</v>
      </c>
      <c r="B290" t="s">
        <v>34</v>
      </c>
      <c r="C290" t="s">
        <v>62</v>
      </c>
      <c r="D290" t="s">
        <v>63</v>
      </c>
      <c r="E290" t="s">
        <v>64</v>
      </c>
      <c r="G290">
        <v>302739.70118629618</v>
      </c>
      <c r="H290">
        <v>171.34696842067393</v>
      </c>
    </row>
    <row r="291" spans="1:8" ht="18.75">
      <c r="A291" t="s">
        <v>61</v>
      </c>
      <c r="B291" t="s">
        <v>34</v>
      </c>
      <c r="C291" t="s">
        <v>66</v>
      </c>
      <c r="D291" t="s">
        <v>67</v>
      </c>
      <c r="E291" t="s">
        <v>39</v>
      </c>
      <c r="G291">
        <v>204583.33333333334</v>
      </c>
      <c r="H291">
        <v>27.900978638285022</v>
      </c>
    </row>
    <row r="292" spans="1:8" ht="18.75">
      <c r="A292" t="s">
        <v>61</v>
      </c>
      <c r="B292" t="s">
        <v>34</v>
      </c>
      <c r="C292" t="s">
        <v>68</v>
      </c>
      <c r="D292" t="s">
        <v>69</v>
      </c>
      <c r="E292" t="s">
        <v>40</v>
      </c>
      <c r="G292">
        <v>11342.584565145144</v>
      </c>
      <c r="H292">
        <v>58.815386074385522</v>
      </c>
    </row>
    <row r="293" spans="1:8" ht="18.75">
      <c r="A293" t="s">
        <v>61</v>
      </c>
      <c r="B293" t="s">
        <v>34</v>
      </c>
      <c r="C293" t="s">
        <v>70</v>
      </c>
      <c r="D293" t="s">
        <v>71</v>
      </c>
      <c r="E293" t="s">
        <v>41</v>
      </c>
      <c r="G293">
        <v>0</v>
      </c>
      <c r="H293">
        <v>0</v>
      </c>
    </row>
    <row r="294" spans="1:8" ht="18.75">
      <c r="A294" t="s">
        <v>61</v>
      </c>
      <c r="B294" t="s">
        <v>34</v>
      </c>
      <c r="C294" t="s">
        <v>70</v>
      </c>
      <c r="D294" t="s">
        <v>72</v>
      </c>
      <c r="E294" t="s">
        <v>42</v>
      </c>
      <c r="G294">
        <v>0</v>
      </c>
      <c r="H294">
        <v>0</v>
      </c>
    </row>
    <row r="295" spans="1:8">
      <c r="A295" t="s">
        <v>61</v>
      </c>
      <c r="B295" t="s">
        <v>34</v>
      </c>
      <c r="C295" t="s">
        <v>73</v>
      </c>
      <c r="D295" t="s">
        <v>74</v>
      </c>
      <c r="E295" t="s">
        <v>43</v>
      </c>
      <c r="G295">
        <v>1523.82851445663</v>
      </c>
      <c r="H295">
        <v>8.4721626230682947</v>
      </c>
    </row>
    <row r="296" spans="1:8">
      <c r="A296" t="s">
        <v>61</v>
      </c>
      <c r="B296" t="s">
        <v>34</v>
      </c>
      <c r="C296" t="s">
        <v>76</v>
      </c>
      <c r="D296" t="s">
        <v>77</v>
      </c>
      <c r="E296" t="s">
        <v>44</v>
      </c>
      <c r="G296">
        <v>8894.927536231884</v>
      </c>
      <c r="H296">
        <v>6.7032173913043476</v>
      </c>
    </row>
    <row r="297" spans="1:8">
      <c r="A297" t="s">
        <v>61</v>
      </c>
      <c r="B297" t="s">
        <v>34</v>
      </c>
      <c r="C297" t="s">
        <v>78</v>
      </c>
      <c r="D297" t="s">
        <v>79</v>
      </c>
      <c r="E297" t="s">
        <v>45</v>
      </c>
      <c r="G297">
        <v>222373.18840579712</v>
      </c>
      <c r="H297">
        <v>35.957803864734302</v>
      </c>
    </row>
    <row r="298" spans="1:8">
      <c r="A298" t="s">
        <v>61</v>
      </c>
      <c r="B298" t="s">
        <v>34</v>
      </c>
      <c r="D298" t="s">
        <v>80</v>
      </c>
      <c r="E298" t="s">
        <v>46</v>
      </c>
      <c r="G298">
        <v>11014.456630109671</v>
      </c>
      <c r="H298">
        <v>95.515130584808077</v>
      </c>
    </row>
    <row r="299" spans="1:8">
      <c r="A299" t="s">
        <v>61</v>
      </c>
      <c r="B299" t="s">
        <v>34</v>
      </c>
      <c r="D299" t="s">
        <v>80</v>
      </c>
      <c r="E299" t="s">
        <v>47</v>
      </c>
      <c r="G299">
        <v>3671.4855433698904</v>
      </c>
      <c r="H299">
        <v>10.507715135842473</v>
      </c>
    </row>
    <row r="300" spans="1:8">
      <c r="A300" t="s">
        <v>61</v>
      </c>
      <c r="B300" t="s">
        <v>34</v>
      </c>
      <c r="D300" t="s">
        <v>81</v>
      </c>
      <c r="E300" t="s">
        <v>48</v>
      </c>
      <c r="G300">
        <v>613750</v>
      </c>
      <c r="H300">
        <v>12.123069773267662</v>
      </c>
    </row>
    <row r="301" spans="1:8">
      <c r="A301" t="s">
        <v>61</v>
      </c>
      <c r="B301" t="s">
        <v>34</v>
      </c>
      <c r="D301" t="s">
        <v>81</v>
      </c>
      <c r="E301" t="s">
        <v>49</v>
      </c>
      <c r="G301">
        <v>0</v>
      </c>
      <c r="H301">
        <v>0</v>
      </c>
    </row>
    <row r="302" spans="1:8">
      <c r="A302" t="s">
        <v>61</v>
      </c>
      <c r="B302" t="s">
        <v>35</v>
      </c>
      <c r="C302" t="s">
        <v>62</v>
      </c>
      <c r="D302" t="s">
        <v>63</v>
      </c>
      <c r="E302" t="s">
        <v>64</v>
      </c>
      <c r="G302">
        <v>432231.72330833587</v>
      </c>
      <c r="H302">
        <v>284.29888341437044</v>
      </c>
    </row>
    <row r="303" spans="1:8" ht="18.75">
      <c r="A303" t="s">
        <v>61</v>
      </c>
      <c r="B303" t="s">
        <v>35</v>
      </c>
      <c r="C303" t="s">
        <v>66</v>
      </c>
      <c r="D303" t="s">
        <v>67</v>
      </c>
      <c r="E303" t="s">
        <v>39</v>
      </c>
      <c r="G303">
        <v>106739.13043478262</v>
      </c>
      <c r="H303">
        <v>10.067772839296497</v>
      </c>
    </row>
    <row r="304" spans="1:8" ht="18.75">
      <c r="A304" t="s">
        <v>61</v>
      </c>
      <c r="B304" t="s">
        <v>35</v>
      </c>
      <c r="C304" t="s">
        <v>68</v>
      </c>
      <c r="D304" t="s">
        <v>69</v>
      </c>
      <c r="E304" t="s">
        <v>40</v>
      </c>
      <c r="G304">
        <v>12616.413079601774</v>
      </c>
      <c r="H304">
        <v>96.767703922309309</v>
      </c>
    </row>
    <row r="305" spans="1:8" ht="18.75">
      <c r="A305" t="s">
        <v>61</v>
      </c>
      <c r="B305" t="s">
        <v>35</v>
      </c>
      <c r="C305" t="s">
        <v>70</v>
      </c>
      <c r="D305" t="s">
        <v>71</v>
      </c>
      <c r="E305" t="s">
        <v>41</v>
      </c>
      <c r="G305">
        <v>0</v>
      </c>
      <c r="H305">
        <v>0</v>
      </c>
    </row>
    <row r="306" spans="1:8" ht="18.75">
      <c r="A306" t="s">
        <v>61</v>
      </c>
      <c r="B306" t="s">
        <v>35</v>
      </c>
      <c r="C306" t="s">
        <v>70</v>
      </c>
      <c r="D306" t="s">
        <v>72</v>
      </c>
      <c r="E306" t="s">
        <v>42</v>
      </c>
      <c r="G306">
        <v>0</v>
      </c>
      <c r="H306">
        <v>0</v>
      </c>
    </row>
    <row r="307" spans="1:8">
      <c r="A307" t="s">
        <v>61</v>
      </c>
      <c r="B307" t="s">
        <v>35</v>
      </c>
      <c r="C307" t="s">
        <v>73</v>
      </c>
      <c r="D307" t="s">
        <v>74</v>
      </c>
      <c r="E307" t="s">
        <v>43</v>
      </c>
      <c r="G307">
        <v>12438.2851445663</v>
      </c>
      <c r="H307">
        <v>39.830629006729808</v>
      </c>
    </row>
    <row r="308" spans="1:8">
      <c r="A308" t="s">
        <v>61</v>
      </c>
      <c r="B308" t="s">
        <v>35</v>
      </c>
      <c r="C308" t="s">
        <v>76</v>
      </c>
      <c r="D308" t="s">
        <v>77</v>
      </c>
      <c r="E308" t="s">
        <v>44</v>
      </c>
      <c r="G308">
        <v>0</v>
      </c>
      <c r="H308">
        <v>0</v>
      </c>
    </row>
    <row r="309" spans="1:8">
      <c r="A309" t="s">
        <v>61</v>
      </c>
      <c r="B309" t="s">
        <v>35</v>
      </c>
      <c r="C309" t="s">
        <v>78</v>
      </c>
      <c r="D309" t="s">
        <v>79</v>
      </c>
      <c r="E309" t="s">
        <v>45</v>
      </c>
      <c r="G309">
        <v>62264.492753623184</v>
      </c>
      <c r="H309">
        <v>8.8059782608695656</v>
      </c>
    </row>
    <row r="310" spans="1:8">
      <c r="A310" t="s">
        <v>61</v>
      </c>
      <c r="B310" t="s">
        <v>35</v>
      </c>
      <c r="D310" t="s">
        <v>80</v>
      </c>
      <c r="E310" t="s">
        <v>46</v>
      </c>
      <c r="G310">
        <v>17789.855072463768</v>
      </c>
      <c r="H310">
        <v>50.823276390775959</v>
      </c>
    </row>
    <row r="311" spans="1:8">
      <c r="A311" t="s">
        <v>61</v>
      </c>
      <c r="B311" t="s">
        <v>35</v>
      </c>
      <c r="D311" t="s">
        <v>80</v>
      </c>
      <c r="E311" t="s">
        <v>47</v>
      </c>
      <c r="G311">
        <v>1223.82851445663</v>
      </c>
      <c r="H311">
        <v>3.5025717119474904</v>
      </c>
    </row>
    <row r="312" spans="1:8">
      <c r="A312" t="s">
        <v>61</v>
      </c>
      <c r="B312" t="s">
        <v>35</v>
      </c>
      <c r="D312" t="s">
        <v>81</v>
      </c>
      <c r="E312" t="s">
        <v>48</v>
      </c>
      <c r="G312">
        <v>275742.75362318842</v>
      </c>
      <c r="H312">
        <v>4.3263245838994564</v>
      </c>
    </row>
    <row r="313" spans="1:8">
      <c r="A313" t="s">
        <v>61</v>
      </c>
      <c r="B313" t="s">
        <v>35</v>
      </c>
      <c r="D313" t="s">
        <v>81</v>
      </c>
      <c r="E313" t="s">
        <v>49</v>
      </c>
      <c r="G313">
        <v>8894.927536231884</v>
      </c>
      <c r="H313">
        <v>1.0054826086956521</v>
      </c>
    </row>
    <row r="314" spans="1:8">
      <c r="A314" t="s">
        <v>61</v>
      </c>
      <c r="B314" t="s">
        <v>36</v>
      </c>
      <c r="C314" t="s">
        <v>62</v>
      </c>
      <c r="D314" t="s">
        <v>63</v>
      </c>
      <c r="E314" t="s">
        <v>64</v>
      </c>
      <c r="G314">
        <v>175099.14929125665</v>
      </c>
      <c r="H314">
        <v>54.993868488315243</v>
      </c>
    </row>
    <row r="315" spans="1:8" ht="18.75">
      <c r="A315" t="s">
        <v>61</v>
      </c>
      <c r="B315" t="s">
        <v>36</v>
      </c>
      <c r="C315" t="s">
        <v>66</v>
      </c>
      <c r="D315" t="s">
        <v>67</v>
      </c>
      <c r="E315" t="s">
        <v>39</v>
      </c>
      <c r="G315">
        <v>186793.47826086957</v>
      </c>
      <c r="H315">
        <v>16.917768580163042</v>
      </c>
    </row>
    <row r="316" spans="1:8" ht="18.75">
      <c r="A316" t="s">
        <v>61</v>
      </c>
      <c r="B316" t="s">
        <v>36</v>
      </c>
      <c r="C316" t="s">
        <v>68</v>
      </c>
      <c r="D316" t="s">
        <v>69</v>
      </c>
      <c r="E316" t="s">
        <v>40</v>
      </c>
      <c r="G316">
        <v>54593.393731847937</v>
      </c>
      <c r="H316">
        <v>7.5210180720776076</v>
      </c>
    </row>
    <row r="317" spans="1:8" ht="18.75">
      <c r="A317" t="s">
        <v>61</v>
      </c>
      <c r="B317" t="s">
        <v>36</v>
      </c>
      <c r="C317" t="s">
        <v>70</v>
      </c>
      <c r="D317" t="s">
        <v>71</v>
      </c>
      <c r="E317" t="s">
        <v>41</v>
      </c>
      <c r="G317">
        <v>0</v>
      </c>
      <c r="H317">
        <v>0</v>
      </c>
    </row>
    <row r="318" spans="1:8" ht="18.75">
      <c r="A318" t="s">
        <v>61</v>
      </c>
      <c r="B318" t="s">
        <v>36</v>
      </c>
      <c r="C318" t="s">
        <v>70</v>
      </c>
      <c r="D318" t="s">
        <v>72</v>
      </c>
      <c r="E318" t="s">
        <v>42</v>
      </c>
      <c r="G318">
        <v>0</v>
      </c>
      <c r="H318">
        <v>0</v>
      </c>
    </row>
    <row r="319" spans="1:8">
      <c r="A319" t="s">
        <v>61</v>
      </c>
      <c r="B319" t="s">
        <v>36</v>
      </c>
      <c r="C319" t="s">
        <v>73</v>
      </c>
      <c r="D319" t="s">
        <v>74</v>
      </c>
      <c r="E319" t="s">
        <v>43</v>
      </c>
      <c r="G319">
        <v>28854.311702573439</v>
      </c>
      <c r="H319">
        <v>18.76566248739741</v>
      </c>
    </row>
    <row r="320" spans="1:8">
      <c r="A320" t="s">
        <v>61</v>
      </c>
      <c r="B320" t="s">
        <v>36</v>
      </c>
      <c r="C320" t="s">
        <v>76</v>
      </c>
      <c r="D320" t="s">
        <v>77</v>
      </c>
      <c r="E320" t="s">
        <v>44</v>
      </c>
      <c r="G320">
        <v>0</v>
      </c>
      <c r="H320">
        <v>0</v>
      </c>
    </row>
    <row r="321" spans="1:8">
      <c r="A321" t="s">
        <v>61</v>
      </c>
      <c r="B321" t="s">
        <v>36</v>
      </c>
      <c r="C321" t="s">
        <v>78</v>
      </c>
      <c r="D321" t="s">
        <v>79</v>
      </c>
      <c r="E321" t="s">
        <v>45</v>
      </c>
      <c r="G321">
        <v>177898.55072463769</v>
      </c>
      <c r="H321">
        <v>16.817817391304349</v>
      </c>
    </row>
    <row r="322" spans="1:8">
      <c r="A322" t="s">
        <v>61</v>
      </c>
      <c r="B322" t="s">
        <v>36</v>
      </c>
      <c r="D322" t="s">
        <v>80</v>
      </c>
      <c r="E322" t="s">
        <v>46</v>
      </c>
      <c r="G322">
        <v>12566.413079601774</v>
      </c>
      <c r="H322">
        <v>29.065271909353079</v>
      </c>
    </row>
    <row r="323" spans="1:8">
      <c r="A323" t="s">
        <v>61</v>
      </c>
      <c r="B323" t="s">
        <v>36</v>
      </c>
      <c r="D323" t="s">
        <v>80</v>
      </c>
      <c r="E323" t="s">
        <v>47</v>
      </c>
      <c r="G323">
        <v>1223.82851445663</v>
      </c>
      <c r="H323">
        <v>3.5025717119474904</v>
      </c>
    </row>
    <row r="324" spans="1:8">
      <c r="A324" t="s">
        <v>61</v>
      </c>
      <c r="B324" t="s">
        <v>36</v>
      </c>
      <c r="D324" t="s">
        <v>81</v>
      </c>
      <c r="E324" t="s">
        <v>48</v>
      </c>
      <c r="G324">
        <v>418061.59420289856</v>
      </c>
      <c r="H324">
        <v>5.5962700662364124</v>
      </c>
    </row>
    <row r="325" spans="1:8">
      <c r="A325" t="s">
        <v>61</v>
      </c>
      <c r="B325" t="s">
        <v>36</v>
      </c>
      <c r="D325" t="s">
        <v>81</v>
      </c>
      <c r="E325" t="s">
        <v>49</v>
      </c>
      <c r="G325">
        <v>17789.855072463768</v>
      </c>
      <c r="H325">
        <v>2.0109652173913042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FB278F55A41B4D9D3248AAACB689B9" ma:contentTypeVersion="13" ma:contentTypeDescription="Create a new document." ma:contentTypeScope="" ma:versionID="71c46bfc214de98532c824187d8cda97">
  <xsd:schema xmlns:xsd="http://www.w3.org/2001/XMLSchema" xmlns:xs="http://www.w3.org/2001/XMLSchema" xmlns:p="http://schemas.microsoft.com/office/2006/metadata/properties" xmlns:ns2="5ec2d379-d785-46b0-8636-f7173bc33880" xmlns:ns3="1499b5a1-0c04-4938-aa69-31a6be06cca2" targetNamespace="http://schemas.microsoft.com/office/2006/metadata/properties" ma:root="true" ma:fieldsID="0438c191bc243e7276e104aaaa82e932" ns2:_="" ns3:_="">
    <xsd:import namespace="5ec2d379-d785-46b0-8636-f7173bc33880"/>
    <xsd:import namespace="1499b5a1-0c04-4938-aa69-31a6be06cc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liverabl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2d379-d785-46b0-8636-f7173bc33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6f9a43-c9a4-4e1f-b283-6749085c60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liverable" ma:index="19" nillable="true" ma:displayName="Deliverable" ma:format="Dropdown" ma:internalName="Deliverable">
      <xsd:simpleType>
        <xsd:restriction base="dms:Choice">
          <xsd:enumeration value="Deliverable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9b5a1-0c04-4938-aa69-31a6be06cc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4601f0-7b05-4e22-af03-57ade8473ff6}" ma:internalName="TaxCatchAll" ma:showField="CatchAllData" ma:web="1499b5a1-0c04-4938-aa69-31a6be06c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c2d379-d785-46b0-8636-f7173bc33880">
      <Terms xmlns="http://schemas.microsoft.com/office/infopath/2007/PartnerControls"/>
    </lcf76f155ced4ddcb4097134ff3c332f>
    <TaxCatchAll xmlns="1499b5a1-0c04-4938-aa69-31a6be06cca2" xsi:nil="true"/>
    <Deliverable xmlns="5ec2d379-d785-46b0-8636-f7173bc338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8250BC-5077-4755-8FA6-17B422A246B3}"/>
</file>

<file path=customXml/itemProps2.xml><?xml version="1.0" encoding="utf-8"?>
<ds:datastoreItem xmlns:ds="http://schemas.openxmlformats.org/officeDocument/2006/customXml" ds:itemID="{D5A4C02F-64B7-4EB6-A2F2-0DDC6446E4CF}"/>
</file>

<file path=customXml/itemProps3.xml><?xml version="1.0" encoding="utf-8"?>
<ds:datastoreItem xmlns:ds="http://schemas.openxmlformats.org/officeDocument/2006/customXml" ds:itemID="{DF93EE46-A675-47C2-86D4-3DF0E09CA0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Manuela Seehauser</dc:creator>
  <cp:keywords/>
  <dc:description/>
  <cp:lastModifiedBy/>
  <cp:revision/>
  <dcterms:created xsi:type="dcterms:W3CDTF">2025-06-01T15:00:33Z</dcterms:created>
  <dcterms:modified xsi:type="dcterms:W3CDTF">2026-09-29T16:17:57Z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0x01010037FB278F55A41B4D9D3248AAACB689B9</vt:lpwstr>
  </property>
  <property fmtid="{D5CDD505-2E9C-101B-9397-08002B2CF9AE}" pid="3" name="MediaServiceImageTags">
    <vt:lpwstr/>
  </property>
</Properties>
</file>